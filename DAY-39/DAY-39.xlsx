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d.docs.live.net/cdd14d8584d776ca/Documents/"/>
    </mc:Choice>
  </mc:AlternateContent>
  <xr:revisionPtr revIDLastSave="0" documentId="8_{AED1C316-AE63-4F83-818A-5C9692D0A940}" xr6:coauthVersionLast="45" xr6:coauthVersionMax="45" xr10:uidLastSave="{00000000-0000-0000-0000-000000000000}"/>
  <bookViews>
    <workbookView xWindow="-110" yWindow="-110" windowWidth="19420" windowHeight="10300" firstSheet="2" activeTab="7" xr2:uid="{5CAFBAFB-8859-42EE-ACC4-A44C89EA5178}"/>
  </bookViews>
  <sheets>
    <sheet name="Party Performance" sheetId="3" r:id="rId1"/>
    <sheet name="Gender analaysis" sheetId="5" r:id="rId2"/>
    <sheet name="Winners" sheetId="6" r:id="rId3"/>
    <sheet name="Party vs Votes" sheetId="8" r:id="rId4"/>
    <sheet name="Pie chart" sheetId="9" r:id="rId5"/>
    <sheet name="Sheet10" sheetId="10" r:id="rId6"/>
    <sheet name="Sheet2" sheetId="2" r:id="rId7"/>
    <sheet name="Sheet1" sheetId="1" r:id="rId8"/>
  </sheets>
  <definedNames>
    <definedName name="_xlnm._FilterDatabase" localSheetId="7" hidden="1">Sheet1!$A$1:$H$1</definedName>
    <definedName name="ExternalData_1" localSheetId="6" hidden="1">Sheet2!$A$1:$H$49</definedName>
    <definedName name="Slicer_Gender">#N/A</definedName>
    <definedName name="Slicer_Party">#N/A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9" i="2" l="1"/>
  <c r="L12" i="2"/>
  <c r="L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3D5123-7F81-4651-92B8-772DE17B8E6E}"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<sst xmlns="http://schemas.openxmlformats.org/spreadsheetml/2006/main" count="589" uniqueCount="84">
  <si>
    <t>Constituency</t>
  </si>
  <si>
    <t>State</t>
  </si>
  <si>
    <t>Party</t>
  </si>
  <si>
    <t>Candidate</t>
  </si>
  <si>
    <t>Votes</t>
  </si>
  <si>
    <t>Total_Votes</t>
  </si>
  <si>
    <t>Gender</t>
  </si>
  <si>
    <t>Age</t>
  </si>
  <si>
    <t>Bangalore South</t>
  </si>
  <si>
    <t>Karnataka</t>
  </si>
  <si>
    <t>ABC</t>
  </si>
  <si>
    <t>Ravi Kumar</t>
  </si>
  <si>
    <t>Male</t>
  </si>
  <si>
    <t>XYZ</t>
  </si>
  <si>
    <t>Sneha Reddy</t>
  </si>
  <si>
    <t>Female</t>
  </si>
  <si>
    <t>PQR</t>
  </si>
  <si>
    <t>Amit Shah</t>
  </si>
  <si>
    <t>Mysore</t>
  </si>
  <si>
    <t>Kiran Gowda</t>
  </si>
  <si>
    <t>Divya Sharma</t>
  </si>
  <si>
    <t>Rahul Verma</t>
  </si>
  <si>
    <t>Tumkur</t>
  </si>
  <si>
    <t>Suresh Naik</t>
  </si>
  <si>
    <t>Anita Desai</t>
  </si>
  <si>
    <t>Manoj Singh</t>
  </si>
  <si>
    <t>Hubli</t>
  </si>
  <si>
    <t>Prakash Patil</t>
  </si>
  <si>
    <t>Nisha Kulkarni</t>
  </si>
  <si>
    <t>Rajeev Nair</t>
  </si>
  <si>
    <t>Mangalore</t>
  </si>
  <si>
    <t>Arun Shetty</t>
  </si>
  <si>
    <t>Pooja Nair</t>
  </si>
  <si>
    <t>Vikram Rao</t>
  </si>
  <si>
    <t>Belgaum</t>
  </si>
  <si>
    <t>Ramesh Patil</t>
  </si>
  <si>
    <t>Shreya Kulkarni</t>
  </si>
  <si>
    <t>Ajay Singh</t>
  </si>
  <si>
    <t>Davangere</t>
  </si>
  <si>
    <t>Santosh Rao</t>
  </si>
  <si>
    <t>Neha Sharma</t>
  </si>
  <si>
    <t>Deepak Verma</t>
  </si>
  <si>
    <t>Shimoga</t>
  </si>
  <si>
    <t>Girish Shetty</t>
  </si>
  <si>
    <t>Anjali Rao</t>
  </si>
  <si>
    <t>Karthik Reddy</t>
  </si>
  <si>
    <t>Udupi</t>
  </si>
  <si>
    <t>Mahesh Nayak</t>
  </si>
  <si>
    <t>Sneha Pai</t>
  </si>
  <si>
    <t>Rohit Sharma</t>
  </si>
  <si>
    <t>Bellary</t>
  </si>
  <si>
    <t>Ravi Naik</t>
  </si>
  <si>
    <t>Kavya Reddy</t>
  </si>
  <si>
    <t>Sandeep Rao</t>
  </si>
  <si>
    <t>Gulbarga</t>
  </si>
  <si>
    <t>Pradeep Kumar</t>
  </si>
  <si>
    <t>Megha Sharma</t>
  </si>
  <si>
    <t>Anil Verma</t>
  </si>
  <si>
    <t>Raichur</t>
  </si>
  <si>
    <t>Sunil Reddy</t>
  </si>
  <si>
    <t>Deepa Nair</t>
  </si>
  <si>
    <t>Ramesh Rao</t>
  </si>
  <si>
    <t>Bijapur</t>
  </si>
  <si>
    <t>Kiran Patil</t>
  </si>
  <si>
    <t>Swathi Kulkarni</t>
  </si>
  <si>
    <t>Ajit Singh</t>
  </si>
  <si>
    <t>Chitradurga</t>
  </si>
  <si>
    <t>Suresh Gowda</t>
  </si>
  <si>
    <t>Lakshmi Devi</t>
  </si>
  <si>
    <t>Hassan</t>
  </si>
  <si>
    <t>Naveen Kumar</t>
  </si>
  <si>
    <t>Anu Reddy</t>
  </si>
  <si>
    <t>Arjun Singh</t>
  </si>
  <si>
    <t>Mandya</t>
  </si>
  <si>
    <t>Rakesh Gowda</t>
  </si>
  <si>
    <t>Sindhu Sharma</t>
  </si>
  <si>
    <t>Manish Rao</t>
  </si>
  <si>
    <t>Row Labels</t>
  </si>
  <si>
    <t>Sum of Votes</t>
  </si>
  <si>
    <t>Grand Total</t>
  </si>
  <si>
    <t>Vote%</t>
  </si>
  <si>
    <t>min</t>
  </si>
  <si>
    <t>max</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</si>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</sst>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[DAY-39.xlsx]Party vs Votes!PivotTable5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'Party vs Votes'!$B$3</c:f>
              <c:strCache>
                <c:ptCount val="1"/>
                <c:pt idx="0">
                  <c:v>Total</c:v>
                </c:pt>
              </c:strCache>
            </c:strRef>
          </c:tx>
          <c:spPr>
            <a:solidFill>
              <a:schemeClr val="accent1"/>
            </a:solidFill>
            <a:ln>
              <a:noFill/>
            </a:ln>
            <a:effectLst/>
          </c:spPr>
          <c:invertIfNegative val="0"/>
          <c:cat>
            <c:strRef>
              <c:f>'Party vs Votes'!$A$4:$A$7</c:f>
              <c:strCache>
                <c:ptCount val="3"/>
                <c:pt idx="0">
                  <c:v>ABC</c:v>
                </c:pt>
                <c:pt idx="1">
                  <c:v>PQR</c:v>
                </c:pt>
                <c:pt idx="2">
                  <c:v>XYZ</c:v>
                </c:pt>
              </c:strCache>
            </c:strRef>
          </c:cat>
          <c:val>
            <c:numRef>
              <c:f>'Party vs Votes'!$B$4:$B$7</c:f>
              <c:numCache>
                <c:formatCode>General</c:formatCode>
                <c:ptCount val="3"/>
                <c:pt idx="0">
                  <c:v>851394</c:v>
                </c:pt>
                <c:pt idx="1">
                  <c:v>432113</c:v>
                </c:pt>
                <c:pt idx="2">
                  <c:v>896172</c:v>
                </c:pt>
              </c:numCache>
            </c:numRef>
          </c:val>
          <c:extLst>
            <c:ext xmlns:c16="http://schemas.microsoft.com/office/drawing/2014/chart" uri="{C3380CC4-5D6E-409C-BE32-E72D297353CC}">
              <c16:uniqueId val="{00000000-4027-43BA-BCA6-C3961CE24390}"/>
            </c:ext>
          </c:extLst>
        </c:ser>
        <c:dLbls>
          <c:showLegendKey val="0"/>
          <c:showVal val="0"/>
          <c:showCatName val="0"/>
          <c:showSerName val="0"/>
          <c:showPercent val="0"/>
          <c:showBubbleSize val="0"/>
        </c:dLbls>
        <c:gapWidth val="182"/>
        <c:axId val="963404368"/>
        <c:axId val="963406008"/>
      </c:barChart>
      <c:catAx>
        <c:axId val="96340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6008"/>
        <c:crosses val="autoZero"/>
        <c:auto val="1"/>
        <c:lblAlgn val="ctr"/>
        <c:lblOffset val="100"/>
        <c:noMultiLvlLbl val="0"/>
      </c:catAx>
      <c:valAx>
        <c:axId val="963406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[DAY-39.xlsx]Pie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'Pie chart'!$A$4:$A$6</c:f>
              <c:strCache>
                <c:ptCount val="2"/>
                <c:pt idx="0">
                  <c:v>Female</c:v>
                </c:pt>
                <c:pt idx="1">
                  <c:v>Male</c:v>
                </c:pt>
              </c:strCache>
            </c:strRef>
          </c:cat>
          <c:val>
            <c:numRef>
              <c:f>'Pie chart'!$B$4:$B$6</c:f>
              <c:numCache>
                <c:formatCode>General</c:formatCode>
                <c:ptCount val="2"/>
                <c:pt idx="0">
                  <c:v>896172</c:v>
                </c:pt>
                <c:pt idx="1">
                  <c:v>1283507</c:v>
                </c:pt>
              </c:numCache>
            </c:numRef>
          </c:val>
          <c:extLst>
            <c:ext xmlns:c16="http://schemas.microsoft.com/office/drawing/2014/chart" uri="{C3380CC4-5D6E-409C-BE32-E72D297353CC}">
              <c16:uniqueId val="{00000003-7A9E-4614-B027-99E8740706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88900</xdr:colOff>
      <xdr:row>1</xdr:row>
      <xdr:rowOff>38100</xdr:rowOff>
    </xdr:from>
    <xdr:to>
      <xdr:col>10</xdr:col>
      <xdr:colOff>393700</xdr:colOff>
      <xdr:row>19</xdr:row>
      <xdr:rowOff>31749</xdr:rowOff>
    </xdr:to>
    <xdr:graphicFrame macro="">
      <xdr:nvGraphicFramePr>
        <xdr:cNvPr id="2" name="Chart 1">
          <a:extLst>
            <a:ext uri="{FF2B5EF4-FFF2-40B4-BE49-F238E27FC236}">
              <a16:creationId xmlns:a16="http://schemas.microsoft.com/office/drawing/2014/main" id="{FA60D8DB-83C0-40AF-BB91-88DA41658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88900</xdr:colOff>
      <xdr:row>5</xdr:row>
      <xdr:rowOff>92075</xdr:rowOff>
    </xdr:from>
    <xdr:to>
      <xdr:col>10</xdr:col>
      <xdr:colOff>393700</xdr:colOff>
      <xdr:row>20</xdr:row>
      <xdr:rowOff>73025</xdr:rowOff>
    </xdr:to>
    <xdr:graphicFrame macro="">
      <xdr:nvGraphicFramePr>
        <xdr:cNvPr id="2" name="Chart 1">
          <a:extLst>
            <a:ext uri="{FF2B5EF4-FFF2-40B4-BE49-F238E27FC236}">
              <a16:creationId xmlns:a16="http://schemas.microsoft.com/office/drawing/2014/main" id="{6BAEE07B-9431-4A5E-86E6-AE9817B33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127000</xdr:colOff>
      <xdr:row>4</xdr:row>
      <xdr:rowOff>177800</xdr:rowOff>
    </xdr:from>
    <xdr:to>
      <xdr:col>8</xdr:col>
      <xdr:colOff>127000</xdr:colOff>
      <xdr:row>18</xdr:row>
      <xdr:rowOff>123825</xdr:rowOff>
    </xdr:to>
    <mc:AlternateContent xmlns:mc="http://schemas.openxmlformats.org/markup-compatibility/2006">
      <mc:Choice xmlns:a14="http://schemas.microsoft.com/office/drawing/2010/main" Requires="a14">
        <xdr:graphicFrame macro="">
          <xdr:nvGraphicFramePr>
            <xdr:cNvPr id="2" name="Party">
              <a:extLst>
                <a:ext uri="{FF2B5EF4-FFF2-40B4-BE49-F238E27FC236}">
                  <a16:creationId xmlns:a16="http://schemas.microsoft.com/office/drawing/2014/main" id="{89675799-C674-48AF-84F2-9BDC9D8AA504}"/>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3175000" y="914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196850</xdr:colOff>
      <xdr:row>4</xdr:row>
      <xdr:rowOff>171450</xdr:rowOff>
    </xdr:from>
    <xdr:to>
      <xdr:col>11</xdr:col>
      <xdr:colOff>196850</xdr:colOff>
      <xdr:row>18</xdr:row>
      <xdr:rowOff>117475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1B6106A-A952-4500-9691-CB9E0C5D0D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073650" y="90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7.809939814812" createdVersion="6" refreshedVersion="6" minRefreshableVersion="3" recordCount="48" xr:uid="{EEFF0A55-71ED-4D4F-B23B-F76FEAF974B1}">
  <cacheSource type="worksheet">
    <worksheetSource name="Table3_2"/>
  </cacheSource>
  <cacheFields count="9">
    <cacheField name="Constituency" numFmtId="0">
      <sharedItems count="16">
        <s v="Bangalore South"/>
        <s v="Mysore"/>
        <s v="Tumkur"/>
        <s v="Hubli"/>
        <s v="Mangalore"/>
        <s v="Belgaum"/>
        <s v="Davangere"/>
        <s v="Shimoga"/>
        <s v="Udupi"/>
        <s v="Bellary"/>
        <s v="Gulbarga"/>
        <s v="Raichur"/>
        <s v="Bijapur"/>
        <s v="Chitradurga"/>
        <s v="Hassan"/>
        <s v="Mandya"/>
      </sharedItems>
    </cacheField>
    <cacheField name="State" numFmtId="0">
      <sharedItems count="1">
        <s v="Karnataka"/>
      </sharedItems>
    </cacheField>
    <cacheField name="Party" numFmtId="0">
      <sharedItems count="3">
        <s v="ABC"/>
        <s v="XYZ"/>
        <s v="PQR"/>
      </sharedItems>
    </cacheField>
    <cacheField name="Candidate" numFmtId="0">
      <sharedItems count="47">
        <s v="Ravi Kumar"/>
        <s v="Sneha Reddy"/>
        <s v="Amit Shah"/>
        <s v="Kiran Gowda"/>
        <s v="Divya Sharma"/>
        <s v="Rahul Verma"/>
        <s v="Suresh Naik"/>
        <s v="Anita Desai"/>
        <s v="Manoj Singh"/>
        <s v="Prakash Patil"/>
        <s v="Nisha Kulkarni"/>
        <s v="Rajeev Nair"/>
        <s v="Arun Shetty"/>
        <s v="Pooja Nair"/>
        <s v="Vikram Rao"/>
        <s v="Ramesh Patil"/>
        <s v="Shreya Kulkarni"/>
        <s v="Ajay Singh"/>
        <s v="Santosh Rao"/>
        <s v="Neha Sharma"/>
        <s v="Deepak Verma"/>
        <s v="Girish Shetty"/>
        <s v="Anjali Rao"/>
        <s v="Karthik Reddy"/>
        <s v="Mahesh Nayak"/>
        <s v="Sneha Pai"/>
        <s v="Rohit Sharma"/>
        <s v="Ravi Naik"/>
        <s v="Kavya Reddy"/>
        <s v="Sandeep Rao"/>
        <s v="Pradeep Kumar"/>
        <s v="Megha Sharma"/>
        <s v="Anil Verma"/>
        <s v="Sunil Reddy"/>
        <s v="Deepa Nair"/>
        <s v="Ramesh Rao"/>
        <s v="Kiran Patil"/>
        <s v="Swathi Kulkarni"/>
        <s v="Ajit Singh"/>
        <s v="Suresh Gowda"/>
        <s v="Lakshmi Devi"/>
        <s v="Naveen Kumar"/>
        <s v="Anu Reddy"/>
        <s v="Arjun Singh"/>
        <s v="Rakesh Gowda"/>
        <s v="Sindhu Sharma"/>
        <s v="Manish Rao"/>
      </sharedItems>
    </cacheField>
    <cacheField name="Votes" numFmtId="0">
      <sharedItems containsSemiMixedTypes="0" containsString="0" containsNumber="1" containsInteger="1" minValue="18448" maxValue="71234"/>
    </cacheField>
    <cacheField name="Total_Votes" numFmtId="0">
      <sharedItems containsSemiMixedTypes="0" containsString="0" containsNumber="1" containsInteger="1" minValue="110000" maxValue="180000"/>
    </cacheField>
    <cacheField name="Gender" numFmtId="0">
      <sharedItems count="2">
        <s v="Male"/>
        <s v="Female"/>
      </sharedItems>
    </cacheField>
    <cacheField name="Age" numFmtId="0">
      <sharedItems containsSemiMixedTypes="0" containsString="0" containsNumber="1" containsInteger="1" minValue="34" maxValue="55"/>
    </cacheField>
    <cacheField name="Vote%" numFmtId="0">
      <sharedItems containsSemiMixedTypes="0" containsString="0" containsNumber="1" minValue="15.373333333333333" maxValue="45.056800000000003"/>
    </cacheField>
  </cacheFields>
  <extLst>
    <ext xmlns:x14="http://schemas.microsoft.com/office/spreadsheetml/2009/9/main" uri="{725AE2AE-9491-48be-B2B4-4EB974FC3084}">
      <x14:pivotCacheDefinition pivotCacheId="2128240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n v="45231"/>
    <n v="120000"/>
    <x v="0"/>
    <n v="45"/>
    <n v="37.692500000000003"/>
  </r>
  <r>
    <x v="0"/>
    <x v="0"/>
    <x v="1"/>
    <x v="1"/>
    <n v="50321"/>
    <n v="120000"/>
    <x v="1"/>
    <n v="38"/>
    <n v="41.93416666666667"/>
  </r>
  <r>
    <x v="0"/>
    <x v="0"/>
    <x v="2"/>
    <x v="2"/>
    <n v="18448"/>
    <n v="120000"/>
    <x v="0"/>
    <n v="52"/>
    <n v="15.373333333333333"/>
  </r>
  <r>
    <x v="1"/>
    <x v="0"/>
    <x v="0"/>
    <x v="3"/>
    <n v="62341"/>
    <n v="150000"/>
    <x v="0"/>
    <n v="41"/>
    <n v="41.56066666666667"/>
  </r>
  <r>
    <x v="1"/>
    <x v="0"/>
    <x v="1"/>
    <x v="4"/>
    <n v="54321"/>
    <n v="150000"/>
    <x v="1"/>
    <n v="36"/>
    <n v="36.213999999999999"/>
  </r>
  <r>
    <x v="1"/>
    <x v="0"/>
    <x v="2"/>
    <x v="5"/>
    <n v="33211"/>
    <n v="150000"/>
    <x v="0"/>
    <n v="48"/>
    <n v="22.140666666666668"/>
  </r>
  <r>
    <x v="2"/>
    <x v="0"/>
    <x v="0"/>
    <x v="6"/>
    <n v="41234"/>
    <n v="110000"/>
    <x v="0"/>
    <n v="50"/>
    <n v="37.485454545454544"/>
  </r>
  <r>
    <x v="2"/>
    <x v="0"/>
    <x v="1"/>
    <x v="7"/>
    <n v="45210"/>
    <n v="110000"/>
    <x v="1"/>
    <n v="39"/>
    <n v="41.099999999999994"/>
  </r>
  <r>
    <x v="2"/>
    <x v="0"/>
    <x v="2"/>
    <x v="8"/>
    <n v="23556"/>
    <n v="110000"/>
    <x v="0"/>
    <n v="44"/>
    <n v="21.414545454545454"/>
  </r>
  <r>
    <x v="3"/>
    <x v="0"/>
    <x v="0"/>
    <x v="9"/>
    <n v="71234"/>
    <n v="180000"/>
    <x v="0"/>
    <n v="55"/>
    <n v="39.574444444444445"/>
  </r>
  <r>
    <x v="3"/>
    <x v="0"/>
    <x v="1"/>
    <x v="10"/>
    <n v="65432"/>
    <n v="180000"/>
    <x v="1"/>
    <n v="42"/>
    <n v="36.351111111111109"/>
  </r>
  <r>
    <x v="3"/>
    <x v="0"/>
    <x v="2"/>
    <x v="11"/>
    <n v="43334"/>
    <n v="180000"/>
    <x v="0"/>
    <n v="47"/>
    <n v="24.074444444444445"/>
  </r>
  <r>
    <x v="4"/>
    <x v="0"/>
    <x v="0"/>
    <x v="12"/>
    <n v="55234"/>
    <n v="140000"/>
    <x v="0"/>
    <n v="46"/>
    <n v="39.452857142857148"/>
  </r>
  <r>
    <x v="4"/>
    <x v="0"/>
    <x v="1"/>
    <x v="13"/>
    <n v="60321"/>
    <n v="140000"/>
    <x v="1"/>
    <n v="37"/>
    <n v="43.08642857142857"/>
  </r>
  <r>
    <x v="4"/>
    <x v="0"/>
    <x v="2"/>
    <x v="14"/>
    <n v="24455"/>
    <n v="140000"/>
    <x v="0"/>
    <n v="51"/>
    <n v="17.467857142857142"/>
  </r>
  <r>
    <x v="5"/>
    <x v="0"/>
    <x v="0"/>
    <x v="15"/>
    <n v="62321"/>
    <n v="160000"/>
    <x v="0"/>
    <n v="49"/>
    <n v="38.950625000000002"/>
  </r>
  <r>
    <x v="5"/>
    <x v="0"/>
    <x v="1"/>
    <x v="16"/>
    <n v="65432"/>
    <n v="160000"/>
    <x v="1"/>
    <n v="40"/>
    <n v="40.894999999999996"/>
  </r>
  <r>
    <x v="5"/>
    <x v="0"/>
    <x v="2"/>
    <x v="17"/>
    <n v="28321"/>
    <n v="160000"/>
    <x v="0"/>
    <n v="53"/>
    <n v="17.700624999999999"/>
  </r>
  <r>
    <x v="6"/>
    <x v="0"/>
    <x v="0"/>
    <x v="18"/>
    <n v="48211"/>
    <n v="130000"/>
    <x v="0"/>
    <n v="44"/>
    <n v="37.085384615384612"/>
  </r>
  <r>
    <x v="6"/>
    <x v="0"/>
    <x v="1"/>
    <x v="19"/>
    <n v="52345"/>
    <n v="130000"/>
    <x v="1"/>
    <n v="35"/>
    <n v="40.265384615384612"/>
  </r>
  <r>
    <x v="6"/>
    <x v="0"/>
    <x v="2"/>
    <x v="20"/>
    <n v="27654"/>
    <n v="130000"/>
    <x v="0"/>
    <n v="50"/>
    <n v="21.272307692307692"/>
  </r>
  <r>
    <x v="7"/>
    <x v="0"/>
    <x v="0"/>
    <x v="21"/>
    <n v="51234"/>
    <n v="125000"/>
    <x v="0"/>
    <n v="48"/>
    <n v="40.987200000000001"/>
  </r>
  <r>
    <x v="7"/>
    <x v="0"/>
    <x v="1"/>
    <x v="22"/>
    <n v="56321"/>
    <n v="125000"/>
    <x v="1"/>
    <n v="36"/>
    <n v="45.056800000000003"/>
  </r>
  <r>
    <x v="7"/>
    <x v="0"/>
    <x v="2"/>
    <x v="23"/>
    <n v="25432"/>
    <n v="125000"/>
    <x v="0"/>
    <n v="43"/>
    <n v="20.345600000000001"/>
  </r>
  <r>
    <x v="8"/>
    <x v="0"/>
    <x v="0"/>
    <x v="24"/>
    <n v="43210"/>
    <n v="115000"/>
    <x v="0"/>
    <n v="42"/>
    <n v="37.573913043478264"/>
  </r>
  <r>
    <x v="8"/>
    <x v="0"/>
    <x v="1"/>
    <x v="25"/>
    <n v="48222"/>
    <n v="115000"/>
    <x v="1"/>
    <n v="34"/>
    <n v="41.932173913043478"/>
  </r>
  <r>
    <x v="8"/>
    <x v="0"/>
    <x v="2"/>
    <x v="26"/>
    <n v="21321"/>
    <n v="115000"/>
    <x v="0"/>
    <n v="45"/>
    <n v="18.54"/>
  </r>
  <r>
    <x v="9"/>
    <x v="0"/>
    <x v="0"/>
    <x v="27"/>
    <n v="62344"/>
    <n v="170000"/>
    <x v="0"/>
    <n v="47"/>
    <n v="36.672941176470587"/>
  </r>
  <r>
    <x v="9"/>
    <x v="0"/>
    <x v="1"/>
    <x v="28"/>
    <n v="65321"/>
    <n v="170000"/>
    <x v="1"/>
    <n v="38"/>
    <n v="38.424117647058829"/>
  </r>
  <r>
    <x v="9"/>
    <x v="0"/>
    <x v="2"/>
    <x v="29"/>
    <n v="33455"/>
    <n v="170000"/>
    <x v="0"/>
    <n v="52"/>
    <n v="19.679411764705883"/>
  </r>
  <r>
    <x v="10"/>
    <x v="0"/>
    <x v="0"/>
    <x v="30"/>
    <n v="52345"/>
    <n v="140000"/>
    <x v="0"/>
    <n v="46"/>
    <n v="37.389285714285712"/>
  </r>
  <r>
    <x v="10"/>
    <x v="0"/>
    <x v="1"/>
    <x v="31"/>
    <n v="57321"/>
    <n v="140000"/>
    <x v="1"/>
    <n v="37"/>
    <n v="40.943571428571431"/>
  </r>
  <r>
    <x v="10"/>
    <x v="0"/>
    <x v="2"/>
    <x v="32"/>
    <n v="29321"/>
    <n v="140000"/>
    <x v="0"/>
    <n v="49"/>
    <n v="20.943571428571428"/>
  </r>
  <r>
    <x v="11"/>
    <x v="0"/>
    <x v="0"/>
    <x v="33"/>
    <n v="45321"/>
    <n v="120000"/>
    <x v="0"/>
    <n v="44"/>
    <n v="37.767499999999998"/>
  </r>
  <r>
    <x v="11"/>
    <x v="0"/>
    <x v="1"/>
    <x v="34"/>
    <n v="49321"/>
    <n v="120000"/>
    <x v="1"/>
    <n v="35"/>
    <n v="41.100833333333334"/>
  </r>
  <r>
    <x v="11"/>
    <x v="0"/>
    <x v="2"/>
    <x v="35"/>
    <n v="22321"/>
    <n v="120000"/>
    <x v="0"/>
    <n v="50"/>
    <n v="18.600833333333334"/>
  </r>
  <r>
    <x v="12"/>
    <x v="0"/>
    <x v="0"/>
    <x v="36"/>
    <n v="61234"/>
    <n v="150000"/>
    <x v="0"/>
    <n v="48"/>
    <n v="40.82266666666667"/>
  </r>
  <r>
    <x v="12"/>
    <x v="0"/>
    <x v="1"/>
    <x v="37"/>
    <n v="64321"/>
    <n v="150000"/>
    <x v="1"/>
    <n v="39"/>
    <n v="42.88066666666667"/>
  </r>
  <r>
    <x v="12"/>
    <x v="0"/>
    <x v="2"/>
    <x v="38"/>
    <n v="29321"/>
    <n v="150000"/>
    <x v="0"/>
    <n v="51"/>
    <n v="19.547333333333334"/>
  </r>
  <r>
    <x v="13"/>
    <x v="0"/>
    <x v="0"/>
    <x v="39"/>
    <n v="42345"/>
    <n v="110000"/>
    <x v="0"/>
    <n v="45"/>
    <n v="38.495454545454542"/>
  </r>
  <r>
    <x v="13"/>
    <x v="0"/>
    <x v="1"/>
    <x v="40"/>
    <n v="46321"/>
    <n v="110000"/>
    <x v="1"/>
    <n v="34"/>
    <n v="42.11"/>
  </r>
  <r>
    <x v="13"/>
    <x v="0"/>
    <x v="2"/>
    <x v="0"/>
    <n v="21321"/>
    <n v="110000"/>
    <x v="0"/>
    <n v="47"/>
    <n v="19.382727272727273"/>
  </r>
  <r>
    <x v="14"/>
    <x v="0"/>
    <x v="0"/>
    <x v="41"/>
    <n v="55234"/>
    <n v="135000"/>
    <x v="0"/>
    <n v="46"/>
    <n v="40.914074074074072"/>
  </r>
  <r>
    <x v="14"/>
    <x v="0"/>
    <x v="1"/>
    <x v="42"/>
    <n v="59321"/>
    <n v="135000"/>
    <x v="1"/>
    <n v="36"/>
    <n v="43.941481481481482"/>
  </r>
  <r>
    <x v="14"/>
    <x v="0"/>
    <x v="2"/>
    <x v="43"/>
    <n v="26321"/>
    <n v="135000"/>
    <x v="0"/>
    <n v="50"/>
    <n v="19.497037037037039"/>
  </r>
  <r>
    <x v="15"/>
    <x v="0"/>
    <x v="0"/>
    <x v="44"/>
    <n v="52321"/>
    <n v="130000"/>
    <x v="0"/>
    <n v="44"/>
    <n v="40.246923076923075"/>
  </r>
  <r>
    <x v="15"/>
    <x v="0"/>
    <x v="1"/>
    <x v="45"/>
    <n v="56321"/>
    <n v="130000"/>
    <x v="1"/>
    <n v="35"/>
    <n v="43.323846153846155"/>
  </r>
  <r>
    <x v="15"/>
    <x v="0"/>
    <x v="2"/>
    <x v="46"/>
    <n v="24321"/>
    <n v="130000"/>
    <x v="0"/>
    <n v="48"/>
    <n v="18.7084615384615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D5F14-FD69-4D67-B154-290E1977B8B5}"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9">
    <pivotField showAll="0">
      <items count="17">
        <item sd="0" x="0"/>
        <item x="5"/>
        <item x="9"/>
        <item x="12"/>
        <item x="13"/>
        <item x="6"/>
        <item x="10"/>
        <item x="14"/>
        <item x="3"/>
        <item x="15"/>
        <item x="4"/>
        <item x="1"/>
        <item x="11"/>
        <item x="7"/>
        <item x="2"/>
        <item x="8"/>
        <item t="default"/>
      </items>
    </pivotField>
    <pivotField showAll="0"/>
    <pivotField axis="axisRow" showAll="0">
      <items count="4">
        <item x="0"/>
        <item x="2"/>
        <item x="1"/>
        <item t="default"/>
      </items>
    </pivotField>
    <pivotField showAll="0">
      <items count="48">
        <item x="17"/>
        <item x="38"/>
        <item x="2"/>
        <item x="32"/>
        <item x="7"/>
        <item x="22"/>
        <item x="42"/>
        <item x="43"/>
        <item x="12"/>
        <item x="34"/>
        <item x="20"/>
        <item x="4"/>
        <item x="21"/>
        <item x="23"/>
        <item x="28"/>
        <item x="3"/>
        <item x="36"/>
        <item x="40"/>
        <item x="24"/>
        <item x="46"/>
        <item x="8"/>
        <item x="31"/>
        <item x="41"/>
        <item x="19"/>
        <item x="10"/>
        <item x="13"/>
        <item x="30"/>
        <item x="9"/>
        <item x="5"/>
        <item x="11"/>
        <item x="44"/>
        <item x="15"/>
        <item x="35"/>
        <item x="0"/>
        <item x="27"/>
        <item x="26"/>
        <item x="29"/>
        <item x="18"/>
        <item x="16"/>
        <item x="45"/>
        <item x="25"/>
        <item x="1"/>
        <item x="33"/>
        <item x="39"/>
        <item x="6"/>
        <item x="37"/>
        <item x="14"/>
        <item t="default"/>
      </items>
    </pivotField>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Sum of Vot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AD3D1-CE9F-4380-B822-CEBBA73F0E09}"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9">
    <pivotField showAll="0"/>
    <pivotField showAll="0"/>
    <pivotField showAll="0"/>
    <pivotField showAll="0"/>
    <pivotField dataField="1"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Sum of Vot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67DF0-8627-4EE0-85E9-528CC84E2C4B}"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8" firstHeaderRow="1" firstDataRow="1" firstDataCol="1"/>
  <pivotFields count="9">
    <pivotField axis="axisRow" showAll="0">
      <items count="17">
        <item x="0"/>
        <item x="5"/>
        <item x="9"/>
        <item x="12"/>
        <item x="13"/>
        <item x="6"/>
        <item x="10"/>
        <item x="14"/>
        <item x="3"/>
        <item x="15"/>
        <item x="4"/>
        <item x="1"/>
        <item x="11"/>
        <item x="7"/>
        <item x="2"/>
        <item x="8"/>
        <item t="default"/>
      </items>
    </pivotField>
    <pivotField showAll="0">
      <items count="2">
        <item x="0"/>
        <item t="default"/>
      </items>
    </pivotField>
    <pivotField showAll="0">
      <items count="4">
        <item x="0"/>
        <item x="2"/>
        <item x="1"/>
        <item t="default"/>
      </items>
    </pivotField>
    <pivotField axis="axisRow" showAll="0">
      <items count="48">
        <item x="17"/>
        <item x="38"/>
        <item x="2"/>
        <item x="32"/>
        <item x="7"/>
        <item x="22"/>
        <item x="42"/>
        <item x="43"/>
        <item x="12"/>
        <item x="34"/>
        <item x="20"/>
        <item x="4"/>
        <item x="21"/>
        <item x="23"/>
        <item x="28"/>
        <item x="3"/>
        <item x="36"/>
        <item x="40"/>
        <item x="24"/>
        <item x="46"/>
        <item x="8"/>
        <item x="31"/>
        <item x="41"/>
        <item x="19"/>
        <item x="10"/>
        <item x="13"/>
        <item x="30"/>
        <item x="9"/>
        <item x="5"/>
        <item x="11"/>
        <item x="44"/>
        <item x="15"/>
        <item x="35"/>
        <item x="0"/>
        <item x="27"/>
        <item x="26"/>
        <item x="29"/>
        <item x="18"/>
        <item x="16"/>
        <item x="45"/>
        <item x="25"/>
        <item x="1"/>
        <item x="33"/>
        <item x="39"/>
        <item x="6"/>
        <item x="37"/>
        <item x="14"/>
        <item t="default"/>
      </items>
    </pivotField>
    <pivotField dataField="1" showAll="0"/>
    <pivotField showAll="0"/>
    <pivotField showAll="0"/>
    <pivotField showAll="0"/>
    <pivotField showAll="0"/>
  </pivotFields>
  <rowFields count="2">
    <field x="0"/>
    <field x="3"/>
  </rowFields>
  <rowItems count="65">
    <i>
      <x/>
    </i>
    <i r="1">
      <x v="2"/>
    </i>
    <i r="1">
      <x v="33"/>
    </i>
    <i r="1">
      <x v="41"/>
    </i>
    <i>
      <x v="1"/>
    </i>
    <i r="1">
      <x/>
    </i>
    <i r="1">
      <x v="31"/>
    </i>
    <i r="1">
      <x v="38"/>
    </i>
    <i>
      <x v="2"/>
    </i>
    <i r="1">
      <x v="14"/>
    </i>
    <i r="1">
      <x v="34"/>
    </i>
    <i r="1">
      <x v="36"/>
    </i>
    <i>
      <x v="3"/>
    </i>
    <i r="1">
      <x v="1"/>
    </i>
    <i r="1">
      <x v="16"/>
    </i>
    <i r="1">
      <x v="45"/>
    </i>
    <i>
      <x v="4"/>
    </i>
    <i r="1">
      <x v="17"/>
    </i>
    <i r="1">
      <x v="33"/>
    </i>
    <i r="1">
      <x v="43"/>
    </i>
    <i>
      <x v="5"/>
    </i>
    <i r="1">
      <x v="10"/>
    </i>
    <i r="1">
      <x v="23"/>
    </i>
    <i r="1">
      <x v="37"/>
    </i>
    <i>
      <x v="6"/>
    </i>
    <i r="1">
      <x v="3"/>
    </i>
    <i r="1">
      <x v="21"/>
    </i>
    <i r="1">
      <x v="26"/>
    </i>
    <i>
      <x v="7"/>
    </i>
    <i r="1">
      <x v="6"/>
    </i>
    <i r="1">
      <x v="7"/>
    </i>
    <i r="1">
      <x v="22"/>
    </i>
    <i>
      <x v="8"/>
    </i>
    <i r="1">
      <x v="24"/>
    </i>
    <i r="1">
      <x v="27"/>
    </i>
    <i r="1">
      <x v="29"/>
    </i>
    <i>
      <x v="9"/>
    </i>
    <i r="1">
      <x v="19"/>
    </i>
    <i r="1">
      <x v="30"/>
    </i>
    <i r="1">
      <x v="39"/>
    </i>
    <i>
      <x v="10"/>
    </i>
    <i r="1">
      <x v="8"/>
    </i>
    <i r="1">
      <x v="25"/>
    </i>
    <i r="1">
      <x v="46"/>
    </i>
    <i>
      <x v="11"/>
    </i>
    <i r="1">
      <x v="11"/>
    </i>
    <i r="1">
      <x v="15"/>
    </i>
    <i r="1">
      <x v="28"/>
    </i>
    <i>
      <x v="12"/>
    </i>
    <i r="1">
      <x v="9"/>
    </i>
    <i r="1">
      <x v="32"/>
    </i>
    <i r="1">
      <x v="42"/>
    </i>
    <i>
      <x v="13"/>
    </i>
    <i r="1">
      <x v="5"/>
    </i>
    <i r="1">
      <x v="12"/>
    </i>
    <i r="1">
      <x v="13"/>
    </i>
    <i>
      <x v="14"/>
    </i>
    <i r="1">
      <x v="4"/>
    </i>
    <i r="1">
      <x v="20"/>
    </i>
    <i r="1">
      <x v="44"/>
    </i>
    <i>
      <x v="15"/>
    </i>
    <i r="1">
      <x v="18"/>
    </i>
    <i r="1">
      <x v="35"/>
    </i>
    <i r="1">
      <x v="40"/>
    </i>
    <i t="grand">
      <x/>
    </i>
  </rowItems>
  <colItems count="1">
    <i/>
  </colItems>
  <dataFields count="1">
    <dataField name="Sum of Vot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CF708-127C-40F6-AC67-329949951FAA}"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9">
    <pivotField showAll="0"/>
    <pivotField showAll="0"/>
    <pivotField axis="axisRow" showAll="0">
      <items count="4">
        <item x="0"/>
        <item x="2"/>
        <item x="1"/>
        <item t="default"/>
      </items>
    </pivotField>
    <pivotField showAll="0"/>
    <pivotField dataField="1" showAll="0"/>
    <pivotField showAll="0"/>
    <pivotField showAll="0"/>
    <pivotField showAll="0"/>
    <pivotField showAll="0"/>
  </pivotFields>
  <rowFields count="1">
    <field x="2"/>
  </rowFields>
  <rowItems count="4">
    <i>
      <x/>
    </i>
    <i>
      <x v="1"/>
    </i>
    <i>
      <x v="2"/>
    </i>
    <i t="grand">
      <x/>
    </i>
  </rowItems>
  <colItems count="1">
    <i/>
  </colItems>
  <dataFields count="1">
    <dataField name="Sum of Vot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9820F-502A-4BB0-AE53-21D064F47D94}" name="PivotTable6"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6" firstHeaderRow="1" firstDataRow="1" firstDataCol="1"/>
  <pivotFields count="9">
    <pivotField showAll="0"/>
    <pivotField showAll="0"/>
    <pivotField showAll="0"/>
    <pivotField showAll="0"/>
    <pivotField dataField="1"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Sum of Votes" fld="4" baseField="6"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6060A4-468F-4E94-8ECD-2244D6025A1B}"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9">
    <pivotField showAll="0"/>
    <pivotField showAll="0"/>
    <pivotField showAll="0">
      <items count="4">
        <item x="0"/>
        <item x="2"/>
        <item x="1"/>
        <item t="default"/>
      </items>
    </pivotField>
    <pivotField showAll="0"/>
    <pivotField showAll="0"/>
    <pivotField showAll="0"/>
    <pivotField showAll="0">
      <items count="3">
        <item h="1" x="1"/>
        <item x="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383CC0-9472-44FC-A15A-651DF8CFA91D}" autoFormatId="16" applyNumberFormats="0" applyBorderFormats="0" applyFontFormats="0" applyPatternFormats="0" applyAlignmentFormats="0" applyWidthHeightFormats="0">
  <queryTableRefresh nextId="10" unboundColumnsRight="1">
    <queryTableFields count="9">
      <queryTableField id="1" name="Constituency" tableColumnId="1"/>
      <queryTableField id="2" name="State" tableColumnId="2"/>
      <queryTableField id="3" name="Party" tableColumnId="3"/>
      <queryTableField id="4" name="Candidate" tableColumnId="4"/>
      <queryTableField id="5" name="Votes" tableColumnId="5"/>
      <queryTableField id="6" name="Total_Votes" tableColumnId="6"/>
      <queryTableField id="7" name="Gender" tableColumnId="7"/>
      <queryTableField id="8" name="Age"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FA24EEEC-DA44-4A9E-89E9-921D03F5FF86}" sourceName="Party">
  <pivotTables>
    <pivotTable tabId="10" name="PivotTable7"/>
  </pivotTables>
  <data>
    <tabular pivotCacheId="2128240030">
      <items count="3">
        <i x="0" s="1"/>
        <i x="2"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0F5FA2-686F-4619-8BC6-D1A9F0F9A4C6}" sourceName="Gender">
  <pivotTables>
    <pivotTable tabId="10" name="PivotTable7"/>
  </pivotTables>
  <data>
    <tabular pivotCacheId="212824003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71DB6BD0-D78B-4F14-9FC8-B93BB51982F8}" cache="Slicer_Party" caption="Party" rowHeight="241300"/>
  <slicer name="Gender" xr10:uid="{2A1E9390-A785-41C0-B509-5F2B1A6EA02C}"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AFECAD-2C42-46B6-A947-1545FFC58D12}" name="Table3_2" displayName="Table3_2" ref="A1:I49" tableType="queryTable" totalsRowShown="0">
  <autoFilter ref="A1:I49" xr:uid="{6DBD0F31-B02E-44A8-A01E-387CB63E4BD8}"/>
  <tableColumns count="9">
    <tableColumn id="1" xr3:uid="{0B27CF4B-88EA-4FD9-B44E-C532FEE8DE86}" uniqueName="1" name="Constituency" queryTableFieldId="1" dataDxfId="5"/>
    <tableColumn id="2" xr3:uid="{50D49FCA-A1B9-4551-A4F3-82048B81E677}" uniqueName="2" name="State" queryTableFieldId="2" dataDxfId="4"/>
    <tableColumn id="3" xr3:uid="{A7819C43-D976-45CD-997C-0FC20EE8B98D}" uniqueName="3" name="Party" queryTableFieldId="3" dataDxfId="3"/>
    <tableColumn id="4" xr3:uid="{CF4AA225-581D-4906-9DEC-BA4A72BEAAC9}" uniqueName="4" name="Candidate" queryTableFieldId="4" dataDxfId="2"/>
    <tableColumn id="5" xr3:uid="{8966F50E-05FF-4744-BC96-29002EA6898C}" uniqueName="5" name="Votes" queryTableFieldId="5"/>
    <tableColumn id="6" xr3:uid="{DD4A13A5-178B-4972-A04A-4ED5DB2B6FC4}" uniqueName="6" name="Total_Votes" queryTableFieldId="6"/>
    <tableColumn id="7" xr3:uid="{F3425512-F52E-410B-B7D2-0144FB4C17D5}" uniqueName="7" name="Gender" queryTableFieldId="7" dataDxfId="1"/>
    <tableColumn id="8" xr3:uid="{5B18120E-D0FA-478F-BB41-EE0EA519BDF7}" uniqueName="8" name="Age" queryTableFieldId="8"/>
    <tableColumn id="9" xr3:uid="{0E37882E-3318-4AB0-A7B0-3CBC30C4ACE2}" uniqueName="9" name="Vote%" queryTableFieldId="9" dataDxfId="0">
      <calculatedColumnFormula>E2/F2*100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5F6321-40AE-4F0B-9E1A-8CD56BCDE89F}" name="Table3" displayName="Table3" ref="A1:H49" totalsRowShown="0">
  <autoFilter ref="A1:H49" xr:uid="{3B6181BC-1309-49F2-8866-8A2B7A079DE2}"/>
  <tableColumns count="8">
    <tableColumn id="1" xr3:uid="{8C3041A5-4979-46FB-AF59-E365C7DC8239}" name="Constituency"/>
    <tableColumn id="2" xr3:uid="{3E39019F-0BA5-42F7-8467-0DF0E64E3E41}" name="State"/>
    <tableColumn id="3" xr3:uid="{D8FDBAFB-E752-4C51-8382-2754DD939598}" name="Party"/>
    <tableColumn id="4" xr3:uid="{84610C28-D9CE-4279-B024-C7A25A4358B5}" name="Candidate"/>
    <tableColumn id="5" xr3:uid="{C881520F-8A34-48AC-9A17-802A2881795B}" name="Votes"/>
    <tableColumn id="6" xr3:uid="{E63625A4-99B1-4027-A81F-B689A15BCE49}" name="Total_Votes"/>
    <tableColumn id="7" xr3:uid="{249DB989-DF31-4057-B1C2-F9A13104F309}" name="Gender"/>
    <tableColumn id="8" xr3:uid="{8E5AF19D-7149-4625-A5B3-2DA94D74E9BB}"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2145-A2F3-4CB9-B2B6-EFCEEA8DA867}">
  <dimension ref="A3:B7"/>
  <sheetViews>
    <sheetView topLeftCell="P1" workbookViewId="0">
      <selection activeCell="A3" sqref="A3"/>
    </sheetView>
  </sheetViews>
  <sheetFormatPr defaultRowHeight="14.5" x14ac:dyDescent="0.35"/>
  <cols>
    <col min="1" max="1" width="12.36328125" bestFit="1" customWidth="1"/>
    <col min="2" max="2" width="11.90625" bestFit="1" customWidth="1"/>
  </cols>
  <sheetData>
    <row r="3" spans="1:2" x14ac:dyDescent="0.35">
      <c r="A3" s="11" t="s">
        <v>77</v>
      </c>
      <c r="B3" t="s">
        <v>78</v>
      </c>
    </row>
    <row r="4" spans="1:2" x14ac:dyDescent="0.35">
      <c r="A4" s="12" t="s">
        <v>10</v>
      </c>
      <c r="B4" s="1">
        <v>851394</v>
      </c>
    </row>
    <row r="5" spans="1:2" x14ac:dyDescent="0.35">
      <c r="A5" s="12" t="s">
        <v>16</v>
      </c>
      <c r="B5" s="1">
        <v>432113</v>
      </c>
    </row>
    <row r="6" spans="1:2" x14ac:dyDescent="0.35">
      <c r="A6" s="12" t="s">
        <v>13</v>
      </c>
      <c r="B6" s="1">
        <v>896172</v>
      </c>
    </row>
    <row r="7" spans="1:2" x14ac:dyDescent="0.35">
      <c r="A7" s="12" t="s">
        <v>79</v>
      </c>
      <c r="B7" s="1">
        <v>2179679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429A-4823-4E3D-9627-F3EAC746FA82}">
  <dimension ref="A3:B6"/>
  <sheetViews>
    <sheetView workbookViewId="0">
      <selection activeCell="A3" sqref="A3"/>
    </sheetView>
  </sheetViews>
  <sheetFormatPr defaultRowHeight="14.5" x14ac:dyDescent="0.35"/>
  <cols>
    <col min="1" max="1" width="12.36328125" bestFit="1" customWidth="1"/>
    <col min="2" max="2" width="11.90625" bestFit="1" customWidth="1"/>
  </cols>
  <sheetData>
    <row r="3" spans="1:2" x14ac:dyDescent="0.35">
      <c r="A3" s="11" t="s">
        <v>77</v>
      </c>
      <c r="B3" t="s">
        <v>78</v>
      </c>
    </row>
    <row r="4" spans="1:2" x14ac:dyDescent="0.35">
      <c r="A4" s="12" t="s">
        <v>15</v>
      </c>
      <c r="B4" s="1">
        <v>896172</v>
      </c>
    </row>
    <row r="5" spans="1:2" x14ac:dyDescent="0.35">
      <c r="A5" s="12" t="s">
        <v>12</v>
      </c>
      <c r="B5" s="1">
        <v>1283507</v>
      </c>
    </row>
    <row r="6" spans="1:2" x14ac:dyDescent="0.35">
      <c r="A6" s="12" t="s">
        <v>79</v>
      </c>
      <c r="B6" s="1">
        <v>2179679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B62E-B579-4E06-8E27-B9235A3734D2}">
  <dimension ref="A3:B68"/>
  <sheetViews>
    <sheetView workbookViewId="0">
      <selection activeCell="A3" sqref="A3"/>
    </sheetView>
  </sheetViews>
  <sheetFormatPr defaultRowHeight="14.5" x14ac:dyDescent="0.35"/>
  <cols>
    <col min="1" max="1" width="17.54296875" bestFit="1" customWidth="1"/>
    <col min="2" max="2" width="11.90625" bestFit="1" customWidth="1"/>
  </cols>
  <sheetData>
    <row r="3" spans="1:2" x14ac:dyDescent="0.35">
      <c r="A3" s="11" t="s">
        <v>77</v>
      </c>
      <c r="B3" t="s">
        <v>78</v>
      </c>
    </row>
    <row r="4" spans="1:2" x14ac:dyDescent="0.35">
      <c r="A4" s="12" t="s">
        <v>8</v>
      </c>
      <c r="B4" s="1">
        <v>114000</v>
      </c>
    </row>
    <row r="5" spans="1:2" x14ac:dyDescent="0.35">
      <c r="A5" s="13" t="s">
        <v>17</v>
      </c>
      <c r="B5" s="1">
        <v>18448</v>
      </c>
    </row>
    <row r="6" spans="1:2" x14ac:dyDescent="0.35">
      <c r="A6" s="13" t="s">
        <v>11</v>
      </c>
      <c r="B6" s="1">
        <v>45231</v>
      </c>
    </row>
    <row r="7" spans="1:2" x14ac:dyDescent="0.35">
      <c r="A7" s="13" t="s">
        <v>14</v>
      </c>
      <c r="B7" s="1">
        <v>50321</v>
      </c>
    </row>
    <row r="8" spans="1:2" x14ac:dyDescent="0.35">
      <c r="A8" s="12" t="s">
        <v>34</v>
      </c>
      <c r="B8" s="1">
        <v>156074</v>
      </c>
    </row>
    <row r="9" spans="1:2" x14ac:dyDescent="0.35">
      <c r="A9" s="13" t="s">
        <v>37</v>
      </c>
      <c r="B9" s="1">
        <v>28321</v>
      </c>
    </row>
    <row r="10" spans="1:2" x14ac:dyDescent="0.35">
      <c r="A10" s="13" t="s">
        <v>35</v>
      </c>
      <c r="B10" s="1">
        <v>62321</v>
      </c>
    </row>
    <row r="11" spans="1:2" x14ac:dyDescent="0.35">
      <c r="A11" s="13" t="s">
        <v>36</v>
      </c>
      <c r="B11" s="1">
        <v>65432</v>
      </c>
    </row>
    <row r="12" spans="1:2" x14ac:dyDescent="0.35">
      <c r="A12" s="12" t="s">
        <v>50</v>
      </c>
      <c r="B12" s="1">
        <v>161120</v>
      </c>
    </row>
    <row r="13" spans="1:2" x14ac:dyDescent="0.35">
      <c r="A13" s="13" t="s">
        <v>52</v>
      </c>
      <c r="B13" s="1">
        <v>65321</v>
      </c>
    </row>
    <row r="14" spans="1:2" x14ac:dyDescent="0.35">
      <c r="A14" s="13" t="s">
        <v>51</v>
      </c>
      <c r="B14" s="1">
        <v>62344</v>
      </c>
    </row>
    <row r="15" spans="1:2" x14ac:dyDescent="0.35">
      <c r="A15" s="13" t="s">
        <v>53</v>
      </c>
      <c r="B15" s="1">
        <v>33455</v>
      </c>
    </row>
    <row r="16" spans="1:2" x14ac:dyDescent="0.35">
      <c r="A16" s="12" t="s">
        <v>62</v>
      </c>
      <c r="B16" s="1">
        <v>154876</v>
      </c>
    </row>
    <row r="17" spans="1:2" x14ac:dyDescent="0.35">
      <c r="A17" s="13" t="s">
        <v>65</v>
      </c>
      <c r="B17" s="1">
        <v>29321</v>
      </c>
    </row>
    <row r="18" spans="1:2" x14ac:dyDescent="0.35">
      <c r="A18" s="13" t="s">
        <v>63</v>
      </c>
      <c r="B18" s="1">
        <v>61234</v>
      </c>
    </row>
    <row r="19" spans="1:2" x14ac:dyDescent="0.35">
      <c r="A19" s="13" t="s">
        <v>64</v>
      </c>
      <c r="B19" s="1">
        <v>64321</v>
      </c>
    </row>
    <row r="20" spans="1:2" x14ac:dyDescent="0.35">
      <c r="A20" s="12" t="s">
        <v>66</v>
      </c>
      <c r="B20" s="1">
        <v>109987</v>
      </c>
    </row>
    <row r="21" spans="1:2" x14ac:dyDescent="0.35">
      <c r="A21" s="13" t="s">
        <v>68</v>
      </c>
      <c r="B21" s="1">
        <v>46321</v>
      </c>
    </row>
    <row r="22" spans="1:2" x14ac:dyDescent="0.35">
      <c r="A22" s="13" t="s">
        <v>11</v>
      </c>
      <c r="B22" s="1">
        <v>21321</v>
      </c>
    </row>
    <row r="23" spans="1:2" x14ac:dyDescent="0.35">
      <c r="A23" s="13" t="s">
        <v>67</v>
      </c>
      <c r="B23" s="1">
        <v>42345</v>
      </c>
    </row>
    <row r="24" spans="1:2" x14ac:dyDescent="0.35">
      <c r="A24" s="12" t="s">
        <v>38</v>
      </c>
      <c r="B24" s="1">
        <v>128210</v>
      </c>
    </row>
    <row r="25" spans="1:2" x14ac:dyDescent="0.35">
      <c r="A25" s="13" t="s">
        <v>41</v>
      </c>
      <c r="B25" s="1">
        <v>27654</v>
      </c>
    </row>
    <row r="26" spans="1:2" x14ac:dyDescent="0.35">
      <c r="A26" s="13" t="s">
        <v>40</v>
      </c>
      <c r="B26" s="1">
        <v>52345</v>
      </c>
    </row>
    <row r="27" spans="1:2" x14ac:dyDescent="0.35">
      <c r="A27" s="13" t="s">
        <v>39</v>
      </c>
      <c r="B27" s="1">
        <v>48211</v>
      </c>
    </row>
    <row r="28" spans="1:2" x14ac:dyDescent="0.35">
      <c r="A28" s="12" t="s">
        <v>54</v>
      </c>
      <c r="B28" s="1">
        <v>138987</v>
      </c>
    </row>
    <row r="29" spans="1:2" x14ac:dyDescent="0.35">
      <c r="A29" s="13" t="s">
        <v>57</v>
      </c>
      <c r="B29" s="1">
        <v>29321</v>
      </c>
    </row>
    <row r="30" spans="1:2" x14ac:dyDescent="0.35">
      <c r="A30" s="13" t="s">
        <v>56</v>
      </c>
      <c r="B30" s="1">
        <v>57321</v>
      </c>
    </row>
    <row r="31" spans="1:2" x14ac:dyDescent="0.35">
      <c r="A31" s="13" t="s">
        <v>55</v>
      </c>
      <c r="B31" s="1">
        <v>52345</v>
      </c>
    </row>
    <row r="32" spans="1:2" x14ac:dyDescent="0.35">
      <c r="A32" s="12" t="s">
        <v>69</v>
      </c>
      <c r="B32" s="1">
        <v>140876</v>
      </c>
    </row>
    <row r="33" spans="1:2" x14ac:dyDescent="0.35">
      <c r="A33" s="13" t="s">
        <v>71</v>
      </c>
      <c r="B33" s="1">
        <v>59321</v>
      </c>
    </row>
    <row r="34" spans="1:2" x14ac:dyDescent="0.35">
      <c r="A34" s="13" t="s">
        <v>72</v>
      </c>
      <c r="B34" s="1">
        <v>26321</v>
      </c>
    </row>
    <row r="35" spans="1:2" x14ac:dyDescent="0.35">
      <c r="A35" s="13" t="s">
        <v>70</v>
      </c>
      <c r="B35" s="1">
        <v>55234</v>
      </c>
    </row>
    <row r="36" spans="1:2" x14ac:dyDescent="0.35">
      <c r="A36" s="12" t="s">
        <v>26</v>
      </c>
      <c r="B36" s="1">
        <v>180000</v>
      </c>
    </row>
    <row r="37" spans="1:2" x14ac:dyDescent="0.35">
      <c r="A37" s="13" t="s">
        <v>28</v>
      </c>
      <c r="B37" s="1">
        <v>65432</v>
      </c>
    </row>
    <row r="38" spans="1:2" x14ac:dyDescent="0.35">
      <c r="A38" s="13" t="s">
        <v>27</v>
      </c>
      <c r="B38" s="1">
        <v>71234</v>
      </c>
    </row>
    <row r="39" spans="1:2" x14ac:dyDescent="0.35">
      <c r="A39" s="13" t="s">
        <v>29</v>
      </c>
      <c r="B39" s="1">
        <v>43334</v>
      </c>
    </row>
    <row r="40" spans="1:2" x14ac:dyDescent="0.35">
      <c r="A40" s="12" t="s">
        <v>73</v>
      </c>
      <c r="B40" s="1">
        <v>132963</v>
      </c>
    </row>
    <row r="41" spans="1:2" x14ac:dyDescent="0.35">
      <c r="A41" s="13" t="s">
        <v>76</v>
      </c>
      <c r="B41" s="1">
        <v>24321</v>
      </c>
    </row>
    <row r="42" spans="1:2" x14ac:dyDescent="0.35">
      <c r="A42" s="13" t="s">
        <v>74</v>
      </c>
      <c r="B42" s="1">
        <v>52321</v>
      </c>
    </row>
    <row r="43" spans="1:2" x14ac:dyDescent="0.35">
      <c r="A43" s="13" t="s">
        <v>75</v>
      </c>
      <c r="B43" s="1">
        <v>56321</v>
      </c>
    </row>
    <row r="44" spans="1:2" x14ac:dyDescent="0.35">
      <c r="A44" s="12" t="s">
        <v>30</v>
      </c>
      <c r="B44" s="1">
        <v>140010</v>
      </c>
    </row>
    <row r="45" spans="1:2" x14ac:dyDescent="0.35">
      <c r="A45" s="13" t="s">
        <v>31</v>
      </c>
      <c r="B45" s="1">
        <v>55234</v>
      </c>
    </row>
    <row r="46" spans="1:2" x14ac:dyDescent="0.35">
      <c r="A46" s="13" t="s">
        <v>32</v>
      </c>
      <c r="B46" s="1">
        <v>60321</v>
      </c>
    </row>
    <row r="47" spans="1:2" x14ac:dyDescent="0.35">
      <c r="A47" s="13" t="s">
        <v>33</v>
      </c>
      <c r="B47" s="1">
        <v>24455</v>
      </c>
    </row>
    <row r="48" spans="1:2" x14ac:dyDescent="0.35">
      <c r="A48" s="12" t="s">
        <v>18</v>
      </c>
      <c r="B48" s="1">
        <v>149873</v>
      </c>
    </row>
    <row r="49" spans="1:2" x14ac:dyDescent="0.35">
      <c r="A49" s="13" t="s">
        <v>20</v>
      </c>
      <c r="B49" s="1">
        <v>54321</v>
      </c>
    </row>
    <row r="50" spans="1:2" x14ac:dyDescent="0.35">
      <c r="A50" s="13" t="s">
        <v>19</v>
      </c>
      <c r="B50" s="1">
        <v>62341</v>
      </c>
    </row>
    <row r="51" spans="1:2" x14ac:dyDescent="0.35">
      <c r="A51" s="13" t="s">
        <v>21</v>
      </c>
      <c r="B51" s="1">
        <v>33211</v>
      </c>
    </row>
    <row r="52" spans="1:2" x14ac:dyDescent="0.35">
      <c r="A52" s="12" t="s">
        <v>58</v>
      </c>
      <c r="B52" s="1">
        <v>116963</v>
      </c>
    </row>
    <row r="53" spans="1:2" x14ac:dyDescent="0.35">
      <c r="A53" s="13" t="s">
        <v>60</v>
      </c>
      <c r="B53" s="1">
        <v>49321</v>
      </c>
    </row>
    <row r="54" spans="1:2" x14ac:dyDescent="0.35">
      <c r="A54" s="13" t="s">
        <v>61</v>
      </c>
      <c r="B54" s="1">
        <v>22321</v>
      </c>
    </row>
    <row r="55" spans="1:2" x14ac:dyDescent="0.35">
      <c r="A55" s="13" t="s">
        <v>59</v>
      </c>
      <c r="B55" s="1">
        <v>45321</v>
      </c>
    </row>
    <row r="56" spans="1:2" x14ac:dyDescent="0.35">
      <c r="A56" s="12" t="s">
        <v>42</v>
      </c>
      <c r="B56" s="1">
        <v>132987</v>
      </c>
    </row>
    <row r="57" spans="1:2" x14ac:dyDescent="0.35">
      <c r="A57" s="13" t="s">
        <v>44</v>
      </c>
      <c r="B57" s="1">
        <v>56321</v>
      </c>
    </row>
    <row r="58" spans="1:2" x14ac:dyDescent="0.35">
      <c r="A58" s="13" t="s">
        <v>43</v>
      </c>
      <c r="B58" s="1">
        <v>51234</v>
      </c>
    </row>
    <row r="59" spans="1:2" x14ac:dyDescent="0.35">
      <c r="A59" s="13" t="s">
        <v>45</v>
      </c>
      <c r="B59" s="1">
        <v>25432</v>
      </c>
    </row>
    <row r="60" spans="1:2" x14ac:dyDescent="0.35">
      <c r="A60" s="12" t="s">
        <v>22</v>
      </c>
      <c r="B60" s="1">
        <v>110000</v>
      </c>
    </row>
    <row r="61" spans="1:2" x14ac:dyDescent="0.35">
      <c r="A61" s="13" t="s">
        <v>24</v>
      </c>
      <c r="B61" s="1">
        <v>45210</v>
      </c>
    </row>
    <row r="62" spans="1:2" x14ac:dyDescent="0.35">
      <c r="A62" s="13" t="s">
        <v>25</v>
      </c>
      <c r="B62" s="1">
        <v>23556</v>
      </c>
    </row>
    <row r="63" spans="1:2" x14ac:dyDescent="0.35">
      <c r="A63" s="13" t="s">
        <v>23</v>
      </c>
      <c r="B63" s="1">
        <v>41234</v>
      </c>
    </row>
    <row r="64" spans="1:2" x14ac:dyDescent="0.35">
      <c r="A64" s="12" t="s">
        <v>46</v>
      </c>
      <c r="B64" s="1">
        <v>112753</v>
      </c>
    </row>
    <row r="65" spans="1:2" x14ac:dyDescent="0.35">
      <c r="A65" s="13" t="s">
        <v>47</v>
      </c>
      <c r="B65" s="1">
        <v>43210</v>
      </c>
    </row>
    <row r="66" spans="1:2" x14ac:dyDescent="0.35">
      <c r="A66" s="13" t="s">
        <v>49</v>
      </c>
      <c r="B66" s="1">
        <v>21321</v>
      </c>
    </row>
    <row r="67" spans="1:2" x14ac:dyDescent="0.35">
      <c r="A67" s="13" t="s">
        <v>48</v>
      </c>
      <c r="B67" s="1">
        <v>48222</v>
      </c>
    </row>
    <row r="68" spans="1:2" x14ac:dyDescent="0.35">
      <c r="A68" s="12" t="s">
        <v>79</v>
      </c>
      <c r="B68" s="1">
        <v>2179679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2B2B5-E58E-4F12-BBC9-6E5B393DB836}">
  <dimension ref="A3:B7"/>
  <sheetViews>
    <sheetView workbookViewId="0">
      <selection activeCell="A3" sqref="A3"/>
    </sheetView>
  </sheetViews>
  <sheetFormatPr defaultRowHeight="14.5" x14ac:dyDescent="0.35"/>
  <cols>
    <col min="1" max="1" width="12.36328125" bestFit="1" customWidth="1"/>
    <col min="2" max="2" width="11.90625" bestFit="1" customWidth="1"/>
  </cols>
  <sheetData>
    <row r="3" spans="1:2" x14ac:dyDescent="0.35">
      <c r="A3" s="11" t="s">
        <v>77</v>
      </c>
      <c r="B3" t="s">
        <v>78</v>
      </c>
    </row>
    <row r="4" spans="1:2" x14ac:dyDescent="0.35">
      <c r="A4" s="12" t="s">
        <v>10</v>
      </c>
      <c r="B4" s="1">
        <v>851394</v>
      </c>
    </row>
    <row r="5" spans="1:2" x14ac:dyDescent="0.35">
      <c r="A5" s="12" t="s">
        <v>16</v>
      </c>
      <c r="B5" s="1">
        <v>432113</v>
      </c>
    </row>
    <row r="6" spans="1:2" x14ac:dyDescent="0.35">
      <c r="A6" s="12" t="s">
        <v>13</v>
      </c>
      <c r="B6" s="1">
        <v>896172</v>
      </c>
    </row>
    <row r="7" spans="1:2" x14ac:dyDescent="0.35">
      <c r="A7" s="12" t="s">
        <v>79</v>
      </c>
      <c r="B7" s="1">
        <v>2179679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5F2A-AEC3-41C0-900D-D5784FED68D6}">
  <dimension ref="A3:B6"/>
  <sheetViews>
    <sheetView topLeftCell="A5" workbookViewId="0">
      <selection activeCell="A3" sqref="A3"/>
    </sheetView>
  </sheetViews>
  <sheetFormatPr defaultRowHeight="14.5" x14ac:dyDescent="0.35"/>
  <cols>
    <col min="1" max="1" width="12.36328125" bestFit="1" customWidth="1"/>
    <col min="2" max="2" width="11.90625" bestFit="1" customWidth="1"/>
    <col min="3" max="3" width="17.36328125" bestFit="1" customWidth="1"/>
  </cols>
  <sheetData>
    <row r="3" spans="1:2" x14ac:dyDescent="0.35">
      <c r="A3" s="11" t="s">
        <v>77</v>
      </c>
      <c r="B3" t="s">
        <v>78</v>
      </c>
    </row>
    <row r="4" spans="1:2" x14ac:dyDescent="0.35">
      <c r="A4" s="12" t="s">
        <v>15</v>
      </c>
      <c r="B4" s="1">
        <v>896172</v>
      </c>
    </row>
    <row r="5" spans="1:2" x14ac:dyDescent="0.35">
      <c r="A5" s="12" t="s">
        <v>12</v>
      </c>
      <c r="B5" s="1">
        <v>1283507</v>
      </c>
    </row>
    <row r="6" spans="1:2" x14ac:dyDescent="0.35">
      <c r="A6" s="12" t="s">
        <v>79</v>
      </c>
      <c r="B6" s="1">
        <v>2179679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161E-73F0-462B-8073-1A738FD01BE2}">
  <dimension ref="A3:C20"/>
  <sheetViews>
    <sheetView workbookViewId="0">
      <selection activeCell="A3" sqref="A3"/>
    </sheetView>
  </sheetViews>
  <sheetFormatPr defaultRowHeight="14.5" x14ac:dyDescent="0.35"/>
  <sheetData>
    <row r="3" spans="1:3" x14ac:dyDescent="0.35">
      <c r="A3" s="2"/>
      <c r="B3" s="3"/>
      <c r="C3" s="4"/>
    </row>
    <row r="4" spans="1:3" x14ac:dyDescent="0.35">
      <c r="A4" s="5"/>
      <c r="B4" s="6"/>
      <c r="C4" s="7"/>
    </row>
    <row r="5" spans="1:3" x14ac:dyDescent="0.35">
      <c r="A5" s="5"/>
      <c r="B5" s="6"/>
      <c r="C5" s="7"/>
    </row>
    <row r="6" spans="1:3" x14ac:dyDescent="0.35">
      <c r="A6" s="5"/>
      <c r="B6" s="6"/>
      <c r="C6" s="7"/>
    </row>
    <row r="7" spans="1:3" x14ac:dyDescent="0.35">
      <c r="A7" s="5"/>
      <c r="B7" s="6"/>
      <c r="C7" s="7"/>
    </row>
    <row r="8" spans="1:3" x14ac:dyDescent="0.35">
      <c r="A8" s="5"/>
      <c r="B8" s="6"/>
      <c r="C8" s="7"/>
    </row>
    <row r="9" spans="1:3" x14ac:dyDescent="0.35">
      <c r="A9" s="5"/>
      <c r="B9" s="6"/>
      <c r="C9" s="7"/>
    </row>
    <row r="10" spans="1:3" x14ac:dyDescent="0.35">
      <c r="A10" s="5"/>
      <c r="B10" s="6"/>
      <c r="C10" s="7"/>
    </row>
    <row r="11" spans="1:3" x14ac:dyDescent="0.35">
      <c r="A11" s="5"/>
      <c r="B11" s="6"/>
      <c r="C11" s="7"/>
    </row>
    <row r="12" spans="1:3" x14ac:dyDescent="0.35">
      <c r="A12" s="5"/>
      <c r="B12" s="6"/>
      <c r="C12" s="7"/>
    </row>
    <row r="13" spans="1:3" x14ac:dyDescent="0.35">
      <c r="A13" s="5"/>
      <c r="B13" s="6"/>
      <c r="C13" s="7"/>
    </row>
    <row r="14" spans="1:3" x14ac:dyDescent="0.35">
      <c r="A14" s="5"/>
      <c r="B14" s="6"/>
      <c r="C14" s="7"/>
    </row>
    <row r="15" spans="1:3" x14ac:dyDescent="0.35">
      <c r="A15" s="5"/>
      <c r="B15" s="6"/>
      <c r="C15" s="7"/>
    </row>
    <row r="16" spans="1:3" x14ac:dyDescent="0.35">
      <c r="A16" s="5"/>
      <c r="B16" s="6"/>
      <c r="C16" s="7"/>
    </row>
    <row r="17" spans="1:3" x14ac:dyDescent="0.35">
      <c r="A17" s="5"/>
      <c r="B17" s="6"/>
      <c r="C17" s="7"/>
    </row>
    <row r="18" spans="1:3" x14ac:dyDescent="0.35">
      <c r="A18" s="5"/>
      <c r="B18" s="6"/>
      <c r="C18" s="7"/>
    </row>
    <row r="19" spans="1:3" x14ac:dyDescent="0.35">
      <c r="A19" s="5"/>
      <c r="B19" s="6"/>
      <c r="C19" s="7"/>
    </row>
    <row r="20" spans="1:3" x14ac:dyDescent="0.35">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FD95-C07C-47B6-9471-E13237B2BFEB}">
  <dimension ref="A1:L49"/>
  <sheetViews>
    <sheetView topLeftCell="A2" workbookViewId="0">
      <selection sqref="A1:I49"/>
    </sheetView>
  </sheetViews>
  <sheetFormatPr defaultRowHeight="14.5" x14ac:dyDescent="0.35"/>
  <cols>
    <col min="1" max="1" width="14.54296875" bestFit="1" customWidth="1"/>
    <col min="2" max="2" width="9.1796875" bestFit="1" customWidth="1"/>
    <col min="3" max="3" width="7.54296875" bestFit="1" customWidth="1"/>
    <col min="4" max="4" width="13.7265625" bestFit="1" customWidth="1"/>
    <col min="5" max="5" width="7.90625" bestFit="1" customWidth="1"/>
    <col min="6" max="6" width="13.1796875" bestFit="1" customWidth="1"/>
    <col min="7" max="7" width="9.26953125" bestFit="1" customWidth="1"/>
    <col min="8" max="8" width="6.1796875" bestFit="1" customWidth="1"/>
  </cols>
  <sheetData>
    <row r="1" spans="1:12" x14ac:dyDescent="0.35">
      <c r="A1" t="s">
        <v>0</v>
      </c>
      <c r="B1" t="s">
        <v>1</v>
      </c>
      <c r="C1" t="s">
        <v>2</v>
      </c>
      <c r="D1" t="s">
        <v>3</v>
      </c>
      <c r="E1" t="s">
        <v>4</v>
      </c>
      <c r="F1" t="s">
        <v>5</v>
      </c>
      <c r="G1" t="s">
        <v>6</v>
      </c>
      <c r="H1" t="s">
        <v>7</v>
      </c>
      <c r="I1" t="s">
        <v>80</v>
      </c>
    </row>
    <row r="2" spans="1:12" x14ac:dyDescent="0.35">
      <c r="A2" s="1" t="s">
        <v>8</v>
      </c>
      <c r="B2" s="1" t="s">
        <v>9</v>
      </c>
      <c r="C2" s="1" t="s">
        <v>10</v>
      </c>
      <c r="D2" s="1" t="s">
        <v>11</v>
      </c>
      <c r="E2">
        <v>45231</v>
      </c>
      <c r="F2">
        <v>120000</v>
      </c>
      <c r="G2" s="1" t="s">
        <v>12</v>
      </c>
      <c r="H2">
        <v>45</v>
      </c>
      <c r="I2">
        <f t="shared" ref="I2:I49" si="0">E2/F2*100</f>
        <v>37.692500000000003</v>
      </c>
      <c r="L2" t="s">
        <v>81</v>
      </c>
    </row>
    <row r="3" spans="1:12" x14ac:dyDescent="0.35">
      <c r="A3" s="1" t="s">
        <v>8</v>
      </c>
      <c r="B3" s="1" t="s">
        <v>9</v>
      </c>
      <c r="C3" s="1" t="s">
        <v>13</v>
      </c>
      <c r="D3" s="1" t="s">
        <v>14</v>
      </c>
      <c r="E3">
        <v>50321</v>
      </c>
      <c r="F3">
        <v>120000</v>
      </c>
      <c r="G3" s="1" t="s">
        <v>15</v>
      </c>
      <c r="H3">
        <v>38</v>
      </c>
      <c r="I3">
        <f t="shared" si="0"/>
        <v>41.93416666666667</v>
      </c>
      <c r="L3">
        <f>MAX(Table3_2[Age])</f>
        <v>55</v>
      </c>
    </row>
    <row r="4" spans="1:12" x14ac:dyDescent="0.35">
      <c r="A4" s="1" t="s">
        <v>8</v>
      </c>
      <c r="B4" s="1" t="s">
        <v>9</v>
      </c>
      <c r="C4" s="1" t="s">
        <v>16</v>
      </c>
      <c r="D4" s="1" t="s">
        <v>17</v>
      </c>
      <c r="E4">
        <v>18448</v>
      </c>
      <c r="F4">
        <v>120000</v>
      </c>
      <c r="G4" s="1" t="s">
        <v>12</v>
      </c>
      <c r="H4">
        <v>52</v>
      </c>
      <c r="I4">
        <f t="shared" si="0"/>
        <v>15.373333333333333</v>
      </c>
    </row>
    <row r="5" spans="1:12" x14ac:dyDescent="0.35">
      <c r="A5" s="1" t="s">
        <v>18</v>
      </c>
      <c r="B5" s="1" t="s">
        <v>9</v>
      </c>
      <c r="C5" s="1" t="s">
        <v>10</v>
      </c>
      <c r="D5" s="1" t="s">
        <v>19</v>
      </c>
      <c r="E5">
        <v>62341</v>
      </c>
      <c r="F5">
        <v>150000</v>
      </c>
      <c r="G5" s="1" t="s">
        <v>12</v>
      </c>
      <c r="H5">
        <v>41</v>
      </c>
      <c r="I5">
        <f t="shared" si="0"/>
        <v>41.56066666666667</v>
      </c>
    </row>
    <row r="6" spans="1:12" x14ac:dyDescent="0.35">
      <c r="A6" s="1" t="s">
        <v>18</v>
      </c>
      <c r="B6" s="1" t="s">
        <v>9</v>
      </c>
      <c r="C6" s="1" t="s">
        <v>13</v>
      </c>
      <c r="D6" s="1" t="s">
        <v>20</v>
      </c>
      <c r="E6">
        <v>54321</v>
      </c>
      <c r="F6">
        <v>150000</v>
      </c>
      <c r="G6" s="1" t="s">
        <v>15</v>
      </c>
      <c r="H6">
        <v>36</v>
      </c>
      <c r="I6">
        <f t="shared" si="0"/>
        <v>36.213999999999999</v>
      </c>
    </row>
    <row r="7" spans="1:12" x14ac:dyDescent="0.35">
      <c r="A7" s="1" t="s">
        <v>18</v>
      </c>
      <c r="B7" s="1" t="s">
        <v>9</v>
      </c>
      <c r="C7" s="1" t="s">
        <v>16</v>
      </c>
      <c r="D7" s="1" t="s">
        <v>21</v>
      </c>
      <c r="E7">
        <v>33211</v>
      </c>
      <c r="F7">
        <v>150000</v>
      </c>
      <c r="G7" s="1" t="s">
        <v>12</v>
      </c>
      <c r="H7">
        <v>48</v>
      </c>
      <c r="I7">
        <f t="shared" si="0"/>
        <v>22.140666666666668</v>
      </c>
    </row>
    <row r="8" spans="1:12" x14ac:dyDescent="0.35">
      <c r="A8" s="1" t="s">
        <v>22</v>
      </c>
      <c r="B8" s="1" t="s">
        <v>9</v>
      </c>
      <c r="C8" s="1" t="s">
        <v>10</v>
      </c>
      <c r="D8" s="1" t="s">
        <v>23</v>
      </c>
      <c r="E8">
        <v>41234</v>
      </c>
      <c r="F8">
        <v>110000</v>
      </c>
      <c r="G8" s="1" t="s">
        <v>12</v>
      </c>
      <c r="H8">
        <v>50</v>
      </c>
      <c r="I8">
        <f t="shared" si="0"/>
        <v>37.485454545454544</v>
      </c>
    </row>
    <row r="9" spans="1:12" x14ac:dyDescent="0.35">
      <c r="A9" s="1" t="s">
        <v>22</v>
      </c>
      <c r="B9" s="1" t="s">
        <v>9</v>
      </c>
      <c r="C9" s="1" t="s">
        <v>13</v>
      </c>
      <c r="D9" s="1" t="s">
        <v>24</v>
      </c>
      <c r="E9">
        <v>45210</v>
      </c>
      <c r="F9">
        <v>110000</v>
      </c>
      <c r="G9" s="1" t="s">
        <v>15</v>
      </c>
      <c r="H9">
        <v>39</v>
      </c>
      <c r="I9">
        <f t="shared" si="0"/>
        <v>41.099999999999994</v>
      </c>
    </row>
    <row r="10" spans="1:12" x14ac:dyDescent="0.35">
      <c r="A10" s="1" t="s">
        <v>22</v>
      </c>
      <c r="B10" s="1" t="s">
        <v>9</v>
      </c>
      <c r="C10" s="1" t="s">
        <v>16</v>
      </c>
      <c r="D10" s="1" t="s">
        <v>25</v>
      </c>
      <c r="E10">
        <v>23556</v>
      </c>
      <c r="F10">
        <v>110000</v>
      </c>
      <c r="G10" s="1" t="s">
        <v>12</v>
      </c>
      <c r="H10">
        <v>44</v>
      </c>
      <c r="I10">
        <f t="shared" si="0"/>
        <v>21.414545454545454</v>
      </c>
    </row>
    <row r="11" spans="1:12" x14ac:dyDescent="0.35">
      <c r="A11" s="1" t="s">
        <v>26</v>
      </c>
      <c r="B11" s="1" t="s">
        <v>9</v>
      </c>
      <c r="C11" s="1" t="s">
        <v>10</v>
      </c>
      <c r="D11" s="1" t="s">
        <v>27</v>
      </c>
      <c r="E11">
        <v>71234</v>
      </c>
      <c r="F11">
        <v>180000</v>
      </c>
      <c r="G11" s="1" t="s">
        <v>12</v>
      </c>
      <c r="H11">
        <v>55</v>
      </c>
      <c r="I11">
        <f t="shared" si="0"/>
        <v>39.574444444444445</v>
      </c>
      <c r="L11" t="s">
        <v>83</v>
      </c>
    </row>
    <row r="12" spans="1:12" x14ac:dyDescent="0.35">
      <c r="A12" s="1" t="s">
        <v>26</v>
      </c>
      <c r="B12" s="1" t="s">
        <v>9</v>
      </c>
      <c r="C12" s="1" t="s">
        <v>13</v>
      </c>
      <c r="D12" s="1" t="s">
        <v>28</v>
      </c>
      <c r="E12">
        <v>65432</v>
      </c>
      <c r="F12">
        <v>180000</v>
      </c>
      <c r="G12" s="1" t="s">
        <v>15</v>
      </c>
      <c r="H12">
        <v>42</v>
      </c>
      <c r="I12">
        <f t="shared" si="0"/>
        <v>36.351111111111109</v>
      </c>
      <c r="L12">
        <f>AVERAGE(Table3_2[Age])</f>
        <v>43.979166666666664</v>
      </c>
    </row>
    <row r="13" spans="1:12" x14ac:dyDescent="0.35">
      <c r="A13" s="1" t="s">
        <v>26</v>
      </c>
      <c r="B13" s="1" t="s">
        <v>9</v>
      </c>
      <c r="C13" s="1" t="s">
        <v>16</v>
      </c>
      <c r="D13" s="1" t="s">
        <v>29</v>
      </c>
      <c r="E13">
        <v>43334</v>
      </c>
      <c r="F13">
        <v>180000</v>
      </c>
      <c r="G13" s="1" t="s">
        <v>12</v>
      </c>
      <c r="H13">
        <v>47</v>
      </c>
      <c r="I13">
        <f t="shared" si="0"/>
        <v>24.074444444444445</v>
      </c>
    </row>
    <row r="14" spans="1:12" x14ac:dyDescent="0.35">
      <c r="A14" s="1" t="s">
        <v>30</v>
      </c>
      <c r="B14" s="1" t="s">
        <v>9</v>
      </c>
      <c r="C14" s="1" t="s">
        <v>10</v>
      </c>
      <c r="D14" s="1" t="s">
        <v>31</v>
      </c>
      <c r="E14">
        <v>55234</v>
      </c>
      <c r="F14">
        <v>140000</v>
      </c>
      <c r="G14" s="1" t="s">
        <v>12</v>
      </c>
      <c r="H14">
        <v>46</v>
      </c>
      <c r="I14">
        <f t="shared" si="0"/>
        <v>39.452857142857148</v>
      </c>
    </row>
    <row r="15" spans="1:12" x14ac:dyDescent="0.35">
      <c r="A15" s="1" t="s">
        <v>30</v>
      </c>
      <c r="B15" s="1" t="s">
        <v>9</v>
      </c>
      <c r="C15" s="1" t="s">
        <v>13</v>
      </c>
      <c r="D15" s="1" t="s">
        <v>32</v>
      </c>
      <c r="E15">
        <v>60321</v>
      </c>
      <c r="F15">
        <v>140000</v>
      </c>
      <c r="G15" s="1" t="s">
        <v>15</v>
      </c>
      <c r="H15">
        <v>37</v>
      </c>
      <c r="I15">
        <f t="shared" si="0"/>
        <v>43.08642857142857</v>
      </c>
    </row>
    <row r="16" spans="1:12" x14ac:dyDescent="0.35">
      <c r="A16" s="1" t="s">
        <v>30</v>
      </c>
      <c r="B16" s="1" t="s">
        <v>9</v>
      </c>
      <c r="C16" s="1" t="s">
        <v>16</v>
      </c>
      <c r="D16" s="1" t="s">
        <v>33</v>
      </c>
      <c r="E16">
        <v>24455</v>
      </c>
      <c r="F16">
        <v>140000</v>
      </c>
      <c r="G16" s="1" t="s">
        <v>12</v>
      </c>
      <c r="H16">
        <v>51</v>
      </c>
      <c r="I16">
        <f t="shared" si="0"/>
        <v>17.467857142857142</v>
      </c>
    </row>
    <row r="17" spans="1:11" x14ac:dyDescent="0.35">
      <c r="A17" s="1" t="s">
        <v>34</v>
      </c>
      <c r="B17" s="1" t="s">
        <v>9</v>
      </c>
      <c r="C17" s="1" t="s">
        <v>10</v>
      </c>
      <c r="D17" s="1" t="s">
        <v>35</v>
      </c>
      <c r="E17">
        <v>62321</v>
      </c>
      <c r="F17">
        <v>160000</v>
      </c>
      <c r="G17" s="1" t="s">
        <v>12</v>
      </c>
      <c r="H17">
        <v>49</v>
      </c>
      <c r="I17">
        <f t="shared" si="0"/>
        <v>38.950625000000002</v>
      </c>
    </row>
    <row r="18" spans="1:11" x14ac:dyDescent="0.35">
      <c r="A18" s="1" t="s">
        <v>34</v>
      </c>
      <c r="B18" s="1" t="s">
        <v>9</v>
      </c>
      <c r="C18" s="1" t="s">
        <v>13</v>
      </c>
      <c r="D18" s="1" t="s">
        <v>36</v>
      </c>
      <c r="E18">
        <v>65432</v>
      </c>
      <c r="F18">
        <v>160000</v>
      </c>
      <c r="G18" s="1" t="s">
        <v>15</v>
      </c>
      <c r="H18">
        <v>40</v>
      </c>
      <c r="I18">
        <f t="shared" si="0"/>
        <v>40.894999999999996</v>
      </c>
      <c r="K18" t="s">
        <v>82</v>
      </c>
    </row>
    <row r="19" spans="1:11" x14ac:dyDescent="0.35">
      <c r="A19" s="1" t="s">
        <v>34</v>
      </c>
      <c r="B19" s="1" t="s">
        <v>9</v>
      </c>
      <c r="C19" s="1" t="s">
        <v>16</v>
      </c>
      <c r="D19" s="1" t="s">
        <v>37</v>
      </c>
      <c r="E19">
        <v>28321</v>
      </c>
      <c r="F19">
        <v>160000</v>
      </c>
      <c r="G19" s="1" t="s">
        <v>12</v>
      </c>
      <c r="H19">
        <v>53</v>
      </c>
      <c r="I19">
        <f t="shared" si="0"/>
        <v>17.700624999999999</v>
      </c>
      <c r="K19">
        <f>MAX(Table3_2[Age])</f>
        <v>55</v>
      </c>
    </row>
    <row r="20" spans="1:11" x14ac:dyDescent="0.35">
      <c r="A20" s="1" t="s">
        <v>38</v>
      </c>
      <c r="B20" s="1" t="s">
        <v>9</v>
      </c>
      <c r="C20" s="1" t="s">
        <v>10</v>
      </c>
      <c r="D20" s="1" t="s">
        <v>39</v>
      </c>
      <c r="E20">
        <v>48211</v>
      </c>
      <c r="F20">
        <v>130000</v>
      </c>
      <c r="G20" s="1" t="s">
        <v>12</v>
      </c>
      <c r="H20">
        <v>44</v>
      </c>
      <c r="I20">
        <f t="shared" si="0"/>
        <v>37.085384615384612</v>
      </c>
    </row>
    <row r="21" spans="1:11" x14ac:dyDescent="0.35">
      <c r="A21" s="1" t="s">
        <v>38</v>
      </c>
      <c r="B21" s="1" t="s">
        <v>9</v>
      </c>
      <c r="C21" s="1" t="s">
        <v>13</v>
      </c>
      <c r="D21" s="1" t="s">
        <v>40</v>
      </c>
      <c r="E21">
        <v>52345</v>
      </c>
      <c r="F21">
        <v>130000</v>
      </c>
      <c r="G21" s="1" t="s">
        <v>15</v>
      </c>
      <c r="H21">
        <v>35</v>
      </c>
      <c r="I21">
        <f t="shared" si="0"/>
        <v>40.265384615384612</v>
      </c>
    </row>
    <row r="22" spans="1:11" x14ac:dyDescent="0.35">
      <c r="A22" s="1" t="s">
        <v>38</v>
      </c>
      <c r="B22" s="1" t="s">
        <v>9</v>
      </c>
      <c r="C22" s="1" t="s">
        <v>16</v>
      </c>
      <c r="D22" s="1" t="s">
        <v>41</v>
      </c>
      <c r="E22">
        <v>27654</v>
      </c>
      <c r="F22">
        <v>130000</v>
      </c>
      <c r="G22" s="1" t="s">
        <v>12</v>
      </c>
      <c r="H22">
        <v>50</v>
      </c>
      <c r="I22">
        <f t="shared" si="0"/>
        <v>21.272307692307692</v>
      </c>
    </row>
    <row r="23" spans="1:11" x14ac:dyDescent="0.35">
      <c r="A23" s="1" t="s">
        <v>42</v>
      </c>
      <c r="B23" s="1" t="s">
        <v>9</v>
      </c>
      <c r="C23" s="1" t="s">
        <v>10</v>
      </c>
      <c r="D23" s="1" t="s">
        <v>43</v>
      </c>
      <c r="E23">
        <v>51234</v>
      </c>
      <c r="F23">
        <v>125000</v>
      </c>
      <c r="G23" s="1" t="s">
        <v>12</v>
      </c>
      <c r="H23">
        <v>48</v>
      </c>
      <c r="I23">
        <f t="shared" si="0"/>
        <v>40.987200000000001</v>
      </c>
    </row>
    <row r="24" spans="1:11" x14ac:dyDescent="0.35">
      <c r="A24" s="1" t="s">
        <v>42</v>
      </c>
      <c r="B24" s="1" t="s">
        <v>9</v>
      </c>
      <c r="C24" s="1" t="s">
        <v>13</v>
      </c>
      <c r="D24" s="1" t="s">
        <v>44</v>
      </c>
      <c r="E24">
        <v>56321</v>
      </c>
      <c r="F24">
        <v>125000</v>
      </c>
      <c r="G24" s="1" t="s">
        <v>15</v>
      </c>
      <c r="H24">
        <v>36</v>
      </c>
      <c r="I24">
        <f t="shared" si="0"/>
        <v>45.056800000000003</v>
      </c>
    </row>
    <row r="25" spans="1:11" x14ac:dyDescent="0.35">
      <c r="A25" s="1" t="s">
        <v>42</v>
      </c>
      <c r="B25" s="1" t="s">
        <v>9</v>
      </c>
      <c r="C25" s="1" t="s">
        <v>16</v>
      </c>
      <c r="D25" s="1" t="s">
        <v>45</v>
      </c>
      <c r="E25">
        <v>25432</v>
      </c>
      <c r="F25">
        <v>125000</v>
      </c>
      <c r="G25" s="1" t="s">
        <v>12</v>
      </c>
      <c r="H25">
        <v>43</v>
      </c>
      <c r="I25">
        <f t="shared" si="0"/>
        <v>20.345600000000001</v>
      </c>
    </row>
    <row r="26" spans="1:11" x14ac:dyDescent="0.35">
      <c r="A26" s="1" t="s">
        <v>46</v>
      </c>
      <c r="B26" s="1" t="s">
        <v>9</v>
      </c>
      <c r="C26" s="1" t="s">
        <v>10</v>
      </c>
      <c r="D26" s="1" t="s">
        <v>47</v>
      </c>
      <c r="E26">
        <v>43210</v>
      </c>
      <c r="F26">
        <v>115000</v>
      </c>
      <c r="G26" s="1" t="s">
        <v>12</v>
      </c>
      <c r="H26">
        <v>42</v>
      </c>
      <c r="I26">
        <f t="shared" si="0"/>
        <v>37.573913043478264</v>
      </c>
    </row>
    <row r="27" spans="1:11" x14ac:dyDescent="0.35">
      <c r="A27" s="1" t="s">
        <v>46</v>
      </c>
      <c r="B27" s="1" t="s">
        <v>9</v>
      </c>
      <c r="C27" s="1" t="s">
        <v>13</v>
      </c>
      <c r="D27" s="1" t="s">
        <v>48</v>
      </c>
      <c r="E27">
        <v>48222</v>
      </c>
      <c r="F27">
        <v>115000</v>
      </c>
      <c r="G27" s="1" t="s">
        <v>15</v>
      </c>
      <c r="H27">
        <v>34</v>
      </c>
      <c r="I27">
        <f t="shared" si="0"/>
        <v>41.932173913043478</v>
      </c>
    </row>
    <row r="28" spans="1:11" x14ac:dyDescent="0.35">
      <c r="A28" s="1" t="s">
        <v>46</v>
      </c>
      <c r="B28" s="1" t="s">
        <v>9</v>
      </c>
      <c r="C28" s="1" t="s">
        <v>16</v>
      </c>
      <c r="D28" s="1" t="s">
        <v>49</v>
      </c>
      <c r="E28">
        <v>21321</v>
      </c>
      <c r="F28">
        <v>115000</v>
      </c>
      <c r="G28" s="1" t="s">
        <v>12</v>
      </c>
      <c r="H28">
        <v>45</v>
      </c>
      <c r="I28">
        <f t="shared" si="0"/>
        <v>18.54</v>
      </c>
    </row>
    <row r="29" spans="1:11" x14ac:dyDescent="0.35">
      <c r="A29" s="1" t="s">
        <v>50</v>
      </c>
      <c r="B29" s="1" t="s">
        <v>9</v>
      </c>
      <c r="C29" s="1" t="s">
        <v>10</v>
      </c>
      <c r="D29" s="1" t="s">
        <v>51</v>
      </c>
      <c r="E29">
        <v>62344</v>
      </c>
      <c r="F29">
        <v>170000</v>
      </c>
      <c r="G29" s="1" t="s">
        <v>12</v>
      </c>
      <c r="H29">
        <v>47</v>
      </c>
      <c r="I29">
        <f t="shared" si="0"/>
        <v>36.672941176470587</v>
      </c>
    </row>
    <row r="30" spans="1:11" x14ac:dyDescent="0.35">
      <c r="A30" s="1" t="s">
        <v>50</v>
      </c>
      <c r="B30" s="1" t="s">
        <v>9</v>
      </c>
      <c r="C30" s="1" t="s">
        <v>13</v>
      </c>
      <c r="D30" s="1" t="s">
        <v>52</v>
      </c>
      <c r="E30">
        <v>65321</v>
      </c>
      <c r="F30">
        <v>170000</v>
      </c>
      <c r="G30" s="1" t="s">
        <v>15</v>
      </c>
      <c r="H30">
        <v>38</v>
      </c>
      <c r="I30">
        <f t="shared" si="0"/>
        <v>38.424117647058829</v>
      </c>
    </row>
    <row r="31" spans="1:11" x14ac:dyDescent="0.35">
      <c r="A31" s="1" t="s">
        <v>50</v>
      </c>
      <c r="B31" s="1" t="s">
        <v>9</v>
      </c>
      <c r="C31" s="1" t="s">
        <v>16</v>
      </c>
      <c r="D31" s="1" t="s">
        <v>53</v>
      </c>
      <c r="E31">
        <v>33455</v>
      </c>
      <c r="F31">
        <v>170000</v>
      </c>
      <c r="G31" s="1" t="s">
        <v>12</v>
      </c>
      <c r="H31">
        <v>52</v>
      </c>
      <c r="I31">
        <f t="shared" si="0"/>
        <v>19.679411764705883</v>
      </c>
    </row>
    <row r="32" spans="1:11" x14ac:dyDescent="0.35">
      <c r="A32" s="1" t="s">
        <v>54</v>
      </c>
      <c r="B32" s="1" t="s">
        <v>9</v>
      </c>
      <c r="C32" s="1" t="s">
        <v>10</v>
      </c>
      <c r="D32" s="1" t="s">
        <v>55</v>
      </c>
      <c r="E32">
        <v>52345</v>
      </c>
      <c r="F32">
        <v>140000</v>
      </c>
      <c r="G32" s="1" t="s">
        <v>12</v>
      </c>
      <c r="H32">
        <v>46</v>
      </c>
      <c r="I32">
        <f t="shared" si="0"/>
        <v>37.389285714285712</v>
      </c>
    </row>
    <row r="33" spans="1:9" x14ac:dyDescent="0.35">
      <c r="A33" s="1" t="s">
        <v>54</v>
      </c>
      <c r="B33" s="1" t="s">
        <v>9</v>
      </c>
      <c r="C33" s="1" t="s">
        <v>13</v>
      </c>
      <c r="D33" s="1" t="s">
        <v>56</v>
      </c>
      <c r="E33">
        <v>57321</v>
      </c>
      <c r="F33">
        <v>140000</v>
      </c>
      <c r="G33" s="1" t="s">
        <v>15</v>
      </c>
      <c r="H33">
        <v>37</v>
      </c>
      <c r="I33">
        <f t="shared" si="0"/>
        <v>40.943571428571431</v>
      </c>
    </row>
    <row r="34" spans="1:9" x14ac:dyDescent="0.35">
      <c r="A34" s="1" t="s">
        <v>54</v>
      </c>
      <c r="B34" s="1" t="s">
        <v>9</v>
      </c>
      <c r="C34" s="1" t="s">
        <v>16</v>
      </c>
      <c r="D34" s="1" t="s">
        <v>57</v>
      </c>
      <c r="E34">
        <v>29321</v>
      </c>
      <c r="F34">
        <v>140000</v>
      </c>
      <c r="G34" s="1" t="s">
        <v>12</v>
      </c>
      <c r="H34">
        <v>49</v>
      </c>
      <c r="I34">
        <f t="shared" si="0"/>
        <v>20.943571428571428</v>
      </c>
    </row>
    <row r="35" spans="1:9" x14ac:dyDescent="0.35">
      <c r="A35" s="1" t="s">
        <v>58</v>
      </c>
      <c r="B35" s="1" t="s">
        <v>9</v>
      </c>
      <c r="C35" s="1" t="s">
        <v>10</v>
      </c>
      <c r="D35" s="1" t="s">
        <v>59</v>
      </c>
      <c r="E35">
        <v>45321</v>
      </c>
      <c r="F35">
        <v>120000</v>
      </c>
      <c r="G35" s="1" t="s">
        <v>12</v>
      </c>
      <c r="H35">
        <v>44</v>
      </c>
      <c r="I35">
        <f t="shared" si="0"/>
        <v>37.767499999999998</v>
      </c>
    </row>
    <row r="36" spans="1:9" x14ac:dyDescent="0.35">
      <c r="A36" s="1" t="s">
        <v>58</v>
      </c>
      <c r="B36" s="1" t="s">
        <v>9</v>
      </c>
      <c r="C36" s="1" t="s">
        <v>13</v>
      </c>
      <c r="D36" s="1" t="s">
        <v>60</v>
      </c>
      <c r="E36">
        <v>49321</v>
      </c>
      <c r="F36">
        <v>120000</v>
      </c>
      <c r="G36" s="1" t="s">
        <v>15</v>
      </c>
      <c r="H36">
        <v>35</v>
      </c>
      <c r="I36">
        <f t="shared" si="0"/>
        <v>41.100833333333334</v>
      </c>
    </row>
    <row r="37" spans="1:9" x14ac:dyDescent="0.35">
      <c r="A37" s="1" t="s">
        <v>58</v>
      </c>
      <c r="B37" s="1" t="s">
        <v>9</v>
      </c>
      <c r="C37" s="1" t="s">
        <v>16</v>
      </c>
      <c r="D37" s="1" t="s">
        <v>61</v>
      </c>
      <c r="E37">
        <v>22321</v>
      </c>
      <c r="F37">
        <v>120000</v>
      </c>
      <c r="G37" s="1" t="s">
        <v>12</v>
      </c>
      <c r="H37">
        <v>50</v>
      </c>
      <c r="I37">
        <f t="shared" si="0"/>
        <v>18.600833333333334</v>
      </c>
    </row>
    <row r="38" spans="1:9" x14ac:dyDescent="0.35">
      <c r="A38" s="1" t="s">
        <v>62</v>
      </c>
      <c r="B38" s="1" t="s">
        <v>9</v>
      </c>
      <c r="C38" s="1" t="s">
        <v>10</v>
      </c>
      <c r="D38" s="1" t="s">
        <v>63</v>
      </c>
      <c r="E38">
        <v>61234</v>
      </c>
      <c r="F38">
        <v>150000</v>
      </c>
      <c r="G38" s="1" t="s">
        <v>12</v>
      </c>
      <c r="H38">
        <v>48</v>
      </c>
      <c r="I38">
        <f t="shared" si="0"/>
        <v>40.82266666666667</v>
      </c>
    </row>
    <row r="39" spans="1:9" x14ac:dyDescent="0.35">
      <c r="A39" s="1" t="s">
        <v>62</v>
      </c>
      <c r="B39" s="1" t="s">
        <v>9</v>
      </c>
      <c r="C39" s="1" t="s">
        <v>13</v>
      </c>
      <c r="D39" s="1" t="s">
        <v>64</v>
      </c>
      <c r="E39">
        <v>64321</v>
      </c>
      <c r="F39">
        <v>150000</v>
      </c>
      <c r="G39" s="1" t="s">
        <v>15</v>
      </c>
      <c r="H39">
        <v>39</v>
      </c>
      <c r="I39">
        <f t="shared" si="0"/>
        <v>42.88066666666667</v>
      </c>
    </row>
    <row r="40" spans="1:9" x14ac:dyDescent="0.35">
      <c r="A40" s="1" t="s">
        <v>62</v>
      </c>
      <c r="B40" s="1" t="s">
        <v>9</v>
      </c>
      <c r="C40" s="1" t="s">
        <v>16</v>
      </c>
      <c r="D40" s="1" t="s">
        <v>65</v>
      </c>
      <c r="E40">
        <v>29321</v>
      </c>
      <c r="F40">
        <v>150000</v>
      </c>
      <c r="G40" s="1" t="s">
        <v>12</v>
      </c>
      <c r="H40">
        <v>51</v>
      </c>
      <c r="I40">
        <f t="shared" si="0"/>
        <v>19.547333333333334</v>
      </c>
    </row>
    <row r="41" spans="1:9" x14ac:dyDescent="0.35">
      <c r="A41" s="1" t="s">
        <v>66</v>
      </c>
      <c r="B41" s="1" t="s">
        <v>9</v>
      </c>
      <c r="C41" s="1" t="s">
        <v>10</v>
      </c>
      <c r="D41" s="1" t="s">
        <v>67</v>
      </c>
      <c r="E41">
        <v>42345</v>
      </c>
      <c r="F41">
        <v>110000</v>
      </c>
      <c r="G41" s="1" t="s">
        <v>12</v>
      </c>
      <c r="H41">
        <v>45</v>
      </c>
      <c r="I41">
        <f t="shared" si="0"/>
        <v>38.495454545454542</v>
      </c>
    </row>
    <row r="42" spans="1:9" x14ac:dyDescent="0.35">
      <c r="A42" s="1" t="s">
        <v>66</v>
      </c>
      <c r="B42" s="1" t="s">
        <v>9</v>
      </c>
      <c r="C42" s="1" t="s">
        <v>13</v>
      </c>
      <c r="D42" s="1" t="s">
        <v>68</v>
      </c>
      <c r="E42">
        <v>46321</v>
      </c>
      <c r="F42">
        <v>110000</v>
      </c>
      <c r="G42" s="1" t="s">
        <v>15</v>
      </c>
      <c r="H42">
        <v>34</v>
      </c>
      <c r="I42">
        <f t="shared" si="0"/>
        <v>42.11</v>
      </c>
    </row>
    <row r="43" spans="1:9" x14ac:dyDescent="0.35">
      <c r="A43" s="1" t="s">
        <v>66</v>
      </c>
      <c r="B43" s="1" t="s">
        <v>9</v>
      </c>
      <c r="C43" s="1" t="s">
        <v>16</v>
      </c>
      <c r="D43" s="1" t="s">
        <v>11</v>
      </c>
      <c r="E43">
        <v>21321</v>
      </c>
      <c r="F43">
        <v>110000</v>
      </c>
      <c r="G43" s="1" t="s">
        <v>12</v>
      </c>
      <c r="H43">
        <v>47</v>
      </c>
      <c r="I43">
        <f t="shared" si="0"/>
        <v>19.382727272727273</v>
      </c>
    </row>
    <row r="44" spans="1:9" x14ac:dyDescent="0.35">
      <c r="A44" s="1" t="s">
        <v>69</v>
      </c>
      <c r="B44" s="1" t="s">
        <v>9</v>
      </c>
      <c r="C44" s="1" t="s">
        <v>10</v>
      </c>
      <c r="D44" s="1" t="s">
        <v>70</v>
      </c>
      <c r="E44">
        <v>55234</v>
      </c>
      <c r="F44">
        <v>135000</v>
      </c>
      <c r="G44" s="1" t="s">
        <v>12</v>
      </c>
      <c r="H44">
        <v>46</v>
      </c>
      <c r="I44">
        <f t="shared" si="0"/>
        <v>40.914074074074072</v>
      </c>
    </row>
    <row r="45" spans="1:9" x14ac:dyDescent="0.35">
      <c r="A45" s="1" t="s">
        <v>69</v>
      </c>
      <c r="B45" s="1" t="s">
        <v>9</v>
      </c>
      <c r="C45" s="1" t="s">
        <v>13</v>
      </c>
      <c r="D45" s="1" t="s">
        <v>71</v>
      </c>
      <c r="E45">
        <v>59321</v>
      </c>
      <c r="F45">
        <v>135000</v>
      </c>
      <c r="G45" s="1" t="s">
        <v>15</v>
      </c>
      <c r="H45">
        <v>36</v>
      </c>
      <c r="I45">
        <f t="shared" si="0"/>
        <v>43.941481481481482</v>
      </c>
    </row>
    <row r="46" spans="1:9" x14ac:dyDescent="0.35">
      <c r="A46" s="1" t="s">
        <v>69</v>
      </c>
      <c r="B46" s="1" t="s">
        <v>9</v>
      </c>
      <c r="C46" s="1" t="s">
        <v>16</v>
      </c>
      <c r="D46" s="1" t="s">
        <v>72</v>
      </c>
      <c r="E46">
        <v>26321</v>
      </c>
      <c r="F46">
        <v>135000</v>
      </c>
      <c r="G46" s="1" t="s">
        <v>12</v>
      </c>
      <c r="H46">
        <v>50</v>
      </c>
      <c r="I46">
        <f t="shared" si="0"/>
        <v>19.497037037037039</v>
      </c>
    </row>
    <row r="47" spans="1:9" x14ac:dyDescent="0.35">
      <c r="A47" s="1" t="s">
        <v>73</v>
      </c>
      <c r="B47" s="1" t="s">
        <v>9</v>
      </c>
      <c r="C47" s="1" t="s">
        <v>10</v>
      </c>
      <c r="D47" s="1" t="s">
        <v>74</v>
      </c>
      <c r="E47">
        <v>52321</v>
      </c>
      <c r="F47">
        <v>130000</v>
      </c>
      <c r="G47" s="1" t="s">
        <v>12</v>
      </c>
      <c r="H47">
        <v>44</v>
      </c>
      <c r="I47">
        <f t="shared" si="0"/>
        <v>40.246923076923075</v>
      </c>
    </row>
    <row r="48" spans="1:9" x14ac:dyDescent="0.35">
      <c r="A48" s="1" t="s">
        <v>73</v>
      </c>
      <c r="B48" s="1" t="s">
        <v>9</v>
      </c>
      <c r="C48" s="1" t="s">
        <v>13</v>
      </c>
      <c r="D48" s="1" t="s">
        <v>75</v>
      </c>
      <c r="E48">
        <v>56321</v>
      </c>
      <c r="F48">
        <v>130000</v>
      </c>
      <c r="G48" s="1" t="s">
        <v>15</v>
      </c>
      <c r="H48">
        <v>35</v>
      </c>
      <c r="I48">
        <f t="shared" si="0"/>
        <v>43.323846153846155</v>
      </c>
    </row>
    <row r="49" spans="1:9" x14ac:dyDescent="0.35">
      <c r="A49" s="1" t="s">
        <v>73</v>
      </c>
      <c r="B49" s="1" t="s">
        <v>9</v>
      </c>
      <c r="C49" s="1" t="s">
        <v>16</v>
      </c>
      <c r="D49" s="1" t="s">
        <v>76</v>
      </c>
      <c r="E49">
        <v>24321</v>
      </c>
      <c r="F49">
        <v>130000</v>
      </c>
      <c r="G49" s="1" t="s">
        <v>12</v>
      </c>
      <c r="H49">
        <v>48</v>
      </c>
      <c r="I49">
        <f t="shared" si="0"/>
        <v>18.708461538461538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ECC0-43CE-4456-80C9-A1BD04E826F2}">
  <dimension ref="A1:H49"/>
  <sheetViews>
    <sheetView tabSelected="1" workbookViewId="0">
      <selection sqref="A1:H49"/>
    </sheetView>
  </sheetViews>
  <sheetFormatPr defaultRowHeight="14.5" x14ac:dyDescent="0.35"/>
  <cols>
    <col min="1" max="1" width="14.54296875" bestFit="1" customWidth="1"/>
    <col min="2" max="2" width="10.81640625" customWidth="1"/>
    <col min="4" max="4" width="11.36328125" customWidth="1"/>
    <col min="6" max="6" width="12.90625" customWidth="1"/>
    <col min="7" max="7" width="9"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v>45231</v>
      </c>
      <c r="F2">
        <v>120000</v>
      </c>
      <c r="G2" t="s">
        <v>12</v>
      </c>
      <c r="H2">
        <v>45</v>
      </c>
    </row>
    <row r="3" spans="1:8" x14ac:dyDescent="0.35">
      <c r="A3" t="s">
        <v>8</v>
      </c>
      <c r="B3" t="s">
        <v>9</v>
      </c>
      <c r="C3" t="s">
        <v>13</v>
      </c>
      <c r="D3" t="s">
        <v>14</v>
      </c>
      <c r="E3">
        <v>50321</v>
      </c>
      <c r="F3">
        <v>120000</v>
      </c>
      <c r="G3" t="s">
        <v>15</v>
      </c>
      <c r="H3">
        <v>38</v>
      </c>
    </row>
    <row r="4" spans="1:8" x14ac:dyDescent="0.35">
      <c r="A4" t="s">
        <v>8</v>
      </c>
      <c r="B4" t="s">
        <v>9</v>
      </c>
      <c r="C4" t="s">
        <v>16</v>
      </c>
      <c r="D4" t="s">
        <v>17</v>
      </c>
      <c r="E4">
        <v>18448</v>
      </c>
      <c r="F4">
        <v>120000</v>
      </c>
      <c r="G4" t="s">
        <v>12</v>
      </c>
      <c r="H4">
        <v>52</v>
      </c>
    </row>
    <row r="5" spans="1:8" x14ac:dyDescent="0.35">
      <c r="A5" t="s">
        <v>18</v>
      </c>
      <c r="B5" t="s">
        <v>9</v>
      </c>
      <c r="C5" t="s">
        <v>10</v>
      </c>
      <c r="D5" t="s">
        <v>19</v>
      </c>
      <c r="E5">
        <v>62341</v>
      </c>
      <c r="F5">
        <v>150000</v>
      </c>
      <c r="G5" t="s">
        <v>12</v>
      </c>
      <c r="H5">
        <v>41</v>
      </c>
    </row>
    <row r="6" spans="1:8" x14ac:dyDescent="0.35">
      <c r="A6" t="s">
        <v>18</v>
      </c>
      <c r="B6" t="s">
        <v>9</v>
      </c>
      <c r="C6" t="s">
        <v>13</v>
      </c>
      <c r="D6" t="s">
        <v>20</v>
      </c>
      <c r="E6">
        <v>54321</v>
      </c>
      <c r="F6">
        <v>150000</v>
      </c>
      <c r="G6" t="s">
        <v>15</v>
      </c>
      <c r="H6">
        <v>36</v>
      </c>
    </row>
    <row r="7" spans="1:8" x14ac:dyDescent="0.35">
      <c r="A7" t="s">
        <v>18</v>
      </c>
      <c r="B7" t="s">
        <v>9</v>
      </c>
      <c r="C7" t="s">
        <v>16</v>
      </c>
      <c r="D7" t="s">
        <v>21</v>
      </c>
      <c r="E7">
        <v>33211</v>
      </c>
      <c r="F7">
        <v>150000</v>
      </c>
      <c r="G7" t="s">
        <v>12</v>
      </c>
      <c r="H7">
        <v>48</v>
      </c>
    </row>
    <row r="8" spans="1:8" x14ac:dyDescent="0.35">
      <c r="A8" t="s">
        <v>22</v>
      </c>
      <c r="B8" t="s">
        <v>9</v>
      </c>
      <c r="C8" t="s">
        <v>10</v>
      </c>
      <c r="D8" t="s">
        <v>23</v>
      </c>
      <c r="E8">
        <v>41234</v>
      </c>
      <c r="F8">
        <v>110000</v>
      </c>
      <c r="G8" t="s">
        <v>12</v>
      </c>
      <c r="H8">
        <v>50</v>
      </c>
    </row>
    <row r="9" spans="1:8" x14ac:dyDescent="0.35">
      <c r="A9" t="s">
        <v>22</v>
      </c>
      <c r="B9" t="s">
        <v>9</v>
      </c>
      <c r="C9" t="s">
        <v>13</v>
      </c>
      <c r="D9" t="s">
        <v>24</v>
      </c>
      <c r="E9">
        <v>45210</v>
      </c>
      <c r="F9">
        <v>110000</v>
      </c>
      <c r="G9" t="s">
        <v>15</v>
      </c>
      <c r="H9">
        <v>39</v>
      </c>
    </row>
    <row r="10" spans="1:8" x14ac:dyDescent="0.35">
      <c r="A10" t="s">
        <v>22</v>
      </c>
      <c r="B10" t="s">
        <v>9</v>
      </c>
      <c r="C10" t="s">
        <v>16</v>
      </c>
      <c r="D10" t="s">
        <v>25</v>
      </c>
      <c r="E10">
        <v>23556</v>
      </c>
      <c r="F10">
        <v>110000</v>
      </c>
      <c r="G10" t="s">
        <v>12</v>
      </c>
      <c r="H10">
        <v>44</v>
      </c>
    </row>
    <row r="11" spans="1:8" x14ac:dyDescent="0.35">
      <c r="A11" t="s">
        <v>26</v>
      </c>
      <c r="B11" t="s">
        <v>9</v>
      </c>
      <c r="C11" t="s">
        <v>10</v>
      </c>
      <c r="D11" t="s">
        <v>27</v>
      </c>
      <c r="E11">
        <v>71234</v>
      </c>
      <c r="F11">
        <v>180000</v>
      </c>
      <c r="G11" t="s">
        <v>12</v>
      </c>
      <c r="H11">
        <v>55</v>
      </c>
    </row>
    <row r="12" spans="1:8" x14ac:dyDescent="0.35">
      <c r="A12" t="s">
        <v>26</v>
      </c>
      <c r="B12" t="s">
        <v>9</v>
      </c>
      <c r="C12" t="s">
        <v>13</v>
      </c>
      <c r="D12" t="s">
        <v>28</v>
      </c>
      <c r="E12">
        <v>65432</v>
      </c>
      <c r="F12">
        <v>180000</v>
      </c>
      <c r="G12" t="s">
        <v>15</v>
      </c>
      <c r="H12">
        <v>42</v>
      </c>
    </row>
    <row r="13" spans="1:8" x14ac:dyDescent="0.35">
      <c r="A13" t="s">
        <v>26</v>
      </c>
      <c r="B13" t="s">
        <v>9</v>
      </c>
      <c r="C13" t="s">
        <v>16</v>
      </c>
      <c r="D13" t="s">
        <v>29</v>
      </c>
      <c r="E13">
        <v>43334</v>
      </c>
      <c r="F13">
        <v>180000</v>
      </c>
      <c r="G13" t="s">
        <v>12</v>
      </c>
      <c r="H13">
        <v>47</v>
      </c>
    </row>
    <row r="14" spans="1:8" x14ac:dyDescent="0.35">
      <c r="A14" t="s">
        <v>30</v>
      </c>
      <c r="B14" t="s">
        <v>9</v>
      </c>
      <c r="C14" t="s">
        <v>10</v>
      </c>
      <c r="D14" t="s">
        <v>31</v>
      </c>
      <c r="E14">
        <v>55234</v>
      </c>
      <c r="F14">
        <v>140000</v>
      </c>
      <c r="G14" t="s">
        <v>12</v>
      </c>
      <c r="H14">
        <v>46</v>
      </c>
    </row>
    <row r="15" spans="1:8" x14ac:dyDescent="0.35">
      <c r="A15" t="s">
        <v>30</v>
      </c>
      <c r="B15" t="s">
        <v>9</v>
      </c>
      <c r="C15" t="s">
        <v>13</v>
      </c>
      <c r="D15" t="s">
        <v>32</v>
      </c>
      <c r="E15">
        <v>60321</v>
      </c>
      <c r="F15">
        <v>140000</v>
      </c>
      <c r="G15" t="s">
        <v>15</v>
      </c>
      <c r="H15">
        <v>37</v>
      </c>
    </row>
    <row r="16" spans="1:8" x14ac:dyDescent="0.35">
      <c r="A16" t="s">
        <v>30</v>
      </c>
      <c r="B16" t="s">
        <v>9</v>
      </c>
      <c r="C16" t="s">
        <v>16</v>
      </c>
      <c r="D16" t="s">
        <v>33</v>
      </c>
      <c r="E16">
        <v>24455</v>
      </c>
      <c r="F16">
        <v>140000</v>
      </c>
      <c r="G16" t="s">
        <v>12</v>
      </c>
      <c r="H16">
        <v>51</v>
      </c>
    </row>
    <row r="17" spans="1:8" x14ac:dyDescent="0.35">
      <c r="A17" t="s">
        <v>34</v>
      </c>
      <c r="B17" t="s">
        <v>9</v>
      </c>
      <c r="C17" t="s">
        <v>10</v>
      </c>
      <c r="D17" t="s">
        <v>35</v>
      </c>
      <c r="E17">
        <v>62321</v>
      </c>
      <c r="F17">
        <v>160000</v>
      </c>
      <c r="G17" t="s">
        <v>12</v>
      </c>
      <c r="H17">
        <v>49</v>
      </c>
    </row>
    <row r="18" spans="1:8" x14ac:dyDescent="0.35">
      <c r="A18" t="s">
        <v>34</v>
      </c>
      <c r="B18" t="s">
        <v>9</v>
      </c>
      <c r="C18" t="s">
        <v>13</v>
      </c>
      <c r="D18" t="s">
        <v>36</v>
      </c>
      <c r="E18">
        <v>65432</v>
      </c>
      <c r="F18">
        <v>160000</v>
      </c>
      <c r="G18" t="s">
        <v>15</v>
      </c>
      <c r="H18">
        <v>40</v>
      </c>
    </row>
    <row r="19" spans="1:8" x14ac:dyDescent="0.35">
      <c r="A19" t="s">
        <v>34</v>
      </c>
      <c r="B19" t="s">
        <v>9</v>
      </c>
      <c r="C19" t="s">
        <v>16</v>
      </c>
      <c r="D19" t="s">
        <v>37</v>
      </c>
      <c r="E19">
        <v>28321</v>
      </c>
      <c r="F19">
        <v>160000</v>
      </c>
      <c r="G19" t="s">
        <v>12</v>
      </c>
      <c r="H19">
        <v>53</v>
      </c>
    </row>
    <row r="20" spans="1:8" x14ac:dyDescent="0.35">
      <c r="A20" t="s">
        <v>38</v>
      </c>
      <c r="B20" t="s">
        <v>9</v>
      </c>
      <c r="C20" t="s">
        <v>10</v>
      </c>
      <c r="D20" t="s">
        <v>39</v>
      </c>
      <c r="E20">
        <v>48211</v>
      </c>
      <c r="F20">
        <v>130000</v>
      </c>
      <c r="G20" t="s">
        <v>12</v>
      </c>
      <c r="H20">
        <v>44</v>
      </c>
    </row>
    <row r="21" spans="1:8" x14ac:dyDescent="0.35">
      <c r="A21" t="s">
        <v>38</v>
      </c>
      <c r="B21" t="s">
        <v>9</v>
      </c>
      <c r="C21" t="s">
        <v>13</v>
      </c>
      <c r="D21" t="s">
        <v>40</v>
      </c>
      <c r="E21">
        <v>52345</v>
      </c>
      <c r="F21">
        <v>130000</v>
      </c>
      <c r="G21" t="s">
        <v>15</v>
      </c>
      <c r="H21">
        <v>35</v>
      </c>
    </row>
    <row r="22" spans="1:8" x14ac:dyDescent="0.35">
      <c r="A22" t="s">
        <v>38</v>
      </c>
      <c r="B22" t="s">
        <v>9</v>
      </c>
      <c r="C22" t="s">
        <v>16</v>
      </c>
      <c r="D22" t="s">
        <v>41</v>
      </c>
      <c r="E22">
        <v>27654</v>
      </c>
      <c r="F22">
        <v>130000</v>
      </c>
      <c r="G22" t="s">
        <v>12</v>
      </c>
      <c r="H22">
        <v>50</v>
      </c>
    </row>
    <row r="23" spans="1:8" x14ac:dyDescent="0.35">
      <c r="A23" t="s">
        <v>42</v>
      </c>
      <c r="B23" t="s">
        <v>9</v>
      </c>
      <c r="C23" t="s">
        <v>10</v>
      </c>
      <c r="D23" t="s">
        <v>43</v>
      </c>
      <c r="E23">
        <v>51234</v>
      </c>
      <c r="F23">
        <v>125000</v>
      </c>
      <c r="G23" t="s">
        <v>12</v>
      </c>
      <c r="H23">
        <v>48</v>
      </c>
    </row>
    <row r="24" spans="1:8" x14ac:dyDescent="0.35">
      <c r="A24" t="s">
        <v>42</v>
      </c>
      <c r="B24" t="s">
        <v>9</v>
      </c>
      <c r="C24" t="s">
        <v>13</v>
      </c>
      <c r="D24" t="s">
        <v>44</v>
      </c>
      <c r="E24">
        <v>56321</v>
      </c>
      <c r="F24">
        <v>125000</v>
      </c>
      <c r="G24" t="s">
        <v>15</v>
      </c>
      <c r="H24">
        <v>36</v>
      </c>
    </row>
    <row r="25" spans="1:8" x14ac:dyDescent="0.35">
      <c r="A25" t="s">
        <v>42</v>
      </c>
      <c r="B25" t="s">
        <v>9</v>
      </c>
      <c r="C25" t="s">
        <v>16</v>
      </c>
      <c r="D25" t="s">
        <v>45</v>
      </c>
      <c r="E25">
        <v>25432</v>
      </c>
      <c r="F25">
        <v>125000</v>
      </c>
      <c r="G25" t="s">
        <v>12</v>
      </c>
      <c r="H25">
        <v>43</v>
      </c>
    </row>
    <row r="26" spans="1:8" x14ac:dyDescent="0.35">
      <c r="A26" t="s">
        <v>46</v>
      </c>
      <c r="B26" t="s">
        <v>9</v>
      </c>
      <c r="C26" t="s">
        <v>10</v>
      </c>
      <c r="D26" t="s">
        <v>47</v>
      </c>
      <c r="E26">
        <v>43210</v>
      </c>
      <c r="F26">
        <v>115000</v>
      </c>
      <c r="G26" t="s">
        <v>12</v>
      </c>
      <c r="H26">
        <v>42</v>
      </c>
    </row>
    <row r="27" spans="1:8" x14ac:dyDescent="0.35">
      <c r="A27" t="s">
        <v>46</v>
      </c>
      <c r="B27" t="s">
        <v>9</v>
      </c>
      <c r="C27" t="s">
        <v>13</v>
      </c>
      <c r="D27" t="s">
        <v>48</v>
      </c>
      <c r="E27">
        <v>48222</v>
      </c>
      <c r="F27">
        <v>115000</v>
      </c>
      <c r="G27" t="s">
        <v>15</v>
      </c>
      <c r="H27">
        <v>34</v>
      </c>
    </row>
    <row r="28" spans="1:8" x14ac:dyDescent="0.35">
      <c r="A28" t="s">
        <v>46</v>
      </c>
      <c r="B28" t="s">
        <v>9</v>
      </c>
      <c r="C28" t="s">
        <v>16</v>
      </c>
      <c r="D28" t="s">
        <v>49</v>
      </c>
      <c r="E28">
        <v>21321</v>
      </c>
      <c r="F28">
        <v>115000</v>
      </c>
      <c r="G28" t="s">
        <v>12</v>
      </c>
      <c r="H28">
        <v>45</v>
      </c>
    </row>
    <row r="29" spans="1:8" x14ac:dyDescent="0.35">
      <c r="A29" t="s">
        <v>50</v>
      </c>
      <c r="B29" t="s">
        <v>9</v>
      </c>
      <c r="C29" t="s">
        <v>10</v>
      </c>
      <c r="D29" t="s">
        <v>51</v>
      </c>
      <c r="E29">
        <v>62344</v>
      </c>
      <c r="F29">
        <v>170000</v>
      </c>
      <c r="G29" t="s">
        <v>12</v>
      </c>
      <c r="H29">
        <v>47</v>
      </c>
    </row>
    <row r="30" spans="1:8" x14ac:dyDescent="0.35">
      <c r="A30" t="s">
        <v>50</v>
      </c>
      <c r="B30" t="s">
        <v>9</v>
      </c>
      <c r="C30" t="s">
        <v>13</v>
      </c>
      <c r="D30" t="s">
        <v>52</v>
      </c>
      <c r="E30">
        <v>65321</v>
      </c>
      <c r="F30">
        <v>170000</v>
      </c>
      <c r="G30" t="s">
        <v>15</v>
      </c>
      <c r="H30">
        <v>38</v>
      </c>
    </row>
    <row r="31" spans="1:8" x14ac:dyDescent="0.35">
      <c r="A31" t="s">
        <v>50</v>
      </c>
      <c r="B31" t="s">
        <v>9</v>
      </c>
      <c r="C31" t="s">
        <v>16</v>
      </c>
      <c r="D31" t="s">
        <v>53</v>
      </c>
      <c r="E31">
        <v>33455</v>
      </c>
      <c r="F31">
        <v>170000</v>
      </c>
      <c r="G31" t="s">
        <v>12</v>
      </c>
      <c r="H31">
        <v>52</v>
      </c>
    </row>
    <row r="32" spans="1:8" x14ac:dyDescent="0.35">
      <c r="A32" t="s">
        <v>54</v>
      </c>
      <c r="B32" t="s">
        <v>9</v>
      </c>
      <c r="C32" t="s">
        <v>10</v>
      </c>
      <c r="D32" t="s">
        <v>55</v>
      </c>
      <c r="E32">
        <v>52345</v>
      </c>
      <c r="F32">
        <v>140000</v>
      </c>
      <c r="G32" t="s">
        <v>12</v>
      </c>
      <c r="H32">
        <v>46</v>
      </c>
    </row>
    <row r="33" spans="1:8" x14ac:dyDescent="0.35">
      <c r="A33" t="s">
        <v>54</v>
      </c>
      <c r="B33" t="s">
        <v>9</v>
      </c>
      <c r="C33" t="s">
        <v>13</v>
      </c>
      <c r="D33" t="s">
        <v>56</v>
      </c>
      <c r="E33">
        <v>57321</v>
      </c>
      <c r="F33">
        <v>140000</v>
      </c>
      <c r="G33" t="s">
        <v>15</v>
      </c>
      <c r="H33">
        <v>37</v>
      </c>
    </row>
    <row r="34" spans="1:8" x14ac:dyDescent="0.35">
      <c r="A34" t="s">
        <v>54</v>
      </c>
      <c r="B34" t="s">
        <v>9</v>
      </c>
      <c r="C34" t="s">
        <v>16</v>
      </c>
      <c r="D34" t="s">
        <v>57</v>
      </c>
      <c r="E34">
        <v>29321</v>
      </c>
      <c r="F34">
        <v>140000</v>
      </c>
      <c r="G34" t="s">
        <v>12</v>
      </c>
      <c r="H34">
        <v>49</v>
      </c>
    </row>
    <row r="35" spans="1:8" x14ac:dyDescent="0.35">
      <c r="A35" t="s">
        <v>58</v>
      </c>
      <c r="B35" t="s">
        <v>9</v>
      </c>
      <c r="C35" t="s">
        <v>10</v>
      </c>
      <c r="D35" t="s">
        <v>59</v>
      </c>
      <c r="E35">
        <v>45321</v>
      </c>
      <c r="F35">
        <v>120000</v>
      </c>
      <c r="G35" t="s">
        <v>12</v>
      </c>
      <c r="H35">
        <v>44</v>
      </c>
    </row>
    <row r="36" spans="1:8" x14ac:dyDescent="0.35">
      <c r="A36" t="s">
        <v>58</v>
      </c>
      <c r="B36" t="s">
        <v>9</v>
      </c>
      <c r="C36" t="s">
        <v>13</v>
      </c>
      <c r="D36" t="s">
        <v>60</v>
      </c>
      <c r="E36">
        <v>49321</v>
      </c>
      <c r="F36">
        <v>120000</v>
      </c>
      <c r="G36" t="s">
        <v>15</v>
      </c>
      <c r="H36">
        <v>35</v>
      </c>
    </row>
    <row r="37" spans="1:8" x14ac:dyDescent="0.35">
      <c r="A37" t="s">
        <v>58</v>
      </c>
      <c r="B37" t="s">
        <v>9</v>
      </c>
      <c r="C37" t="s">
        <v>16</v>
      </c>
      <c r="D37" t="s">
        <v>61</v>
      </c>
      <c r="E37">
        <v>22321</v>
      </c>
      <c r="F37">
        <v>120000</v>
      </c>
      <c r="G37" t="s">
        <v>12</v>
      </c>
      <c r="H37">
        <v>50</v>
      </c>
    </row>
    <row r="38" spans="1:8" x14ac:dyDescent="0.35">
      <c r="A38" t="s">
        <v>62</v>
      </c>
      <c r="B38" t="s">
        <v>9</v>
      </c>
      <c r="C38" t="s">
        <v>10</v>
      </c>
      <c r="D38" t="s">
        <v>63</v>
      </c>
      <c r="E38">
        <v>61234</v>
      </c>
      <c r="F38">
        <v>150000</v>
      </c>
      <c r="G38" t="s">
        <v>12</v>
      </c>
      <c r="H38">
        <v>48</v>
      </c>
    </row>
    <row r="39" spans="1:8" x14ac:dyDescent="0.35">
      <c r="A39" t="s">
        <v>62</v>
      </c>
      <c r="B39" t="s">
        <v>9</v>
      </c>
      <c r="C39" t="s">
        <v>13</v>
      </c>
      <c r="D39" t="s">
        <v>64</v>
      </c>
      <c r="E39">
        <v>64321</v>
      </c>
      <c r="F39">
        <v>150000</v>
      </c>
      <c r="G39" t="s">
        <v>15</v>
      </c>
      <c r="H39">
        <v>39</v>
      </c>
    </row>
    <row r="40" spans="1:8" x14ac:dyDescent="0.35">
      <c r="A40" t="s">
        <v>62</v>
      </c>
      <c r="B40" t="s">
        <v>9</v>
      </c>
      <c r="C40" t="s">
        <v>16</v>
      </c>
      <c r="D40" t="s">
        <v>65</v>
      </c>
      <c r="E40">
        <v>29321</v>
      </c>
      <c r="F40">
        <v>150000</v>
      </c>
      <c r="G40" t="s">
        <v>12</v>
      </c>
      <c r="H40">
        <v>51</v>
      </c>
    </row>
    <row r="41" spans="1:8" x14ac:dyDescent="0.35">
      <c r="A41" t="s">
        <v>66</v>
      </c>
      <c r="B41" t="s">
        <v>9</v>
      </c>
      <c r="C41" t="s">
        <v>10</v>
      </c>
      <c r="D41" t="s">
        <v>67</v>
      </c>
      <c r="E41">
        <v>42345</v>
      </c>
      <c r="F41">
        <v>110000</v>
      </c>
      <c r="G41" t="s">
        <v>12</v>
      </c>
      <c r="H41">
        <v>45</v>
      </c>
    </row>
    <row r="42" spans="1:8" x14ac:dyDescent="0.35">
      <c r="A42" t="s">
        <v>66</v>
      </c>
      <c r="B42" t="s">
        <v>9</v>
      </c>
      <c r="C42" t="s">
        <v>13</v>
      </c>
      <c r="D42" t="s">
        <v>68</v>
      </c>
      <c r="E42">
        <v>46321</v>
      </c>
      <c r="F42">
        <v>110000</v>
      </c>
      <c r="G42" t="s">
        <v>15</v>
      </c>
      <c r="H42">
        <v>34</v>
      </c>
    </row>
    <row r="43" spans="1:8" x14ac:dyDescent="0.35">
      <c r="A43" t="s">
        <v>66</v>
      </c>
      <c r="B43" t="s">
        <v>9</v>
      </c>
      <c r="C43" t="s">
        <v>16</v>
      </c>
      <c r="D43" t="s">
        <v>11</v>
      </c>
      <c r="E43">
        <v>21321</v>
      </c>
      <c r="F43">
        <v>110000</v>
      </c>
      <c r="G43" t="s">
        <v>12</v>
      </c>
      <c r="H43">
        <v>47</v>
      </c>
    </row>
    <row r="44" spans="1:8" x14ac:dyDescent="0.35">
      <c r="A44" t="s">
        <v>69</v>
      </c>
      <c r="B44" t="s">
        <v>9</v>
      </c>
      <c r="C44" t="s">
        <v>10</v>
      </c>
      <c r="D44" t="s">
        <v>70</v>
      </c>
      <c r="E44">
        <v>55234</v>
      </c>
      <c r="F44">
        <v>135000</v>
      </c>
      <c r="G44" t="s">
        <v>12</v>
      </c>
      <c r="H44">
        <v>46</v>
      </c>
    </row>
    <row r="45" spans="1:8" x14ac:dyDescent="0.35">
      <c r="A45" t="s">
        <v>69</v>
      </c>
      <c r="B45" t="s">
        <v>9</v>
      </c>
      <c r="C45" t="s">
        <v>13</v>
      </c>
      <c r="D45" t="s">
        <v>71</v>
      </c>
      <c r="E45">
        <v>59321</v>
      </c>
      <c r="F45">
        <v>135000</v>
      </c>
      <c r="G45" t="s">
        <v>15</v>
      </c>
      <c r="H45">
        <v>36</v>
      </c>
    </row>
    <row r="46" spans="1:8" x14ac:dyDescent="0.35">
      <c r="A46" t="s">
        <v>69</v>
      </c>
      <c r="B46" t="s">
        <v>9</v>
      </c>
      <c r="C46" t="s">
        <v>16</v>
      </c>
      <c r="D46" t="s">
        <v>72</v>
      </c>
      <c r="E46">
        <v>26321</v>
      </c>
      <c r="F46">
        <v>135000</v>
      </c>
      <c r="G46" t="s">
        <v>12</v>
      </c>
      <c r="H46">
        <v>50</v>
      </c>
    </row>
    <row r="47" spans="1:8" x14ac:dyDescent="0.35">
      <c r="A47" t="s">
        <v>73</v>
      </c>
      <c r="B47" t="s">
        <v>9</v>
      </c>
      <c r="C47" t="s">
        <v>10</v>
      </c>
      <c r="D47" t="s">
        <v>74</v>
      </c>
      <c r="E47">
        <v>52321</v>
      </c>
      <c r="F47">
        <v>130000</v>
      </c>
      <c r="G47" t="s">
        <v>12</v>
      </c>
      <c r="H47">
        <v>44</v>
      </c>
    </row>
    <row r="48" spans="1:8" x14ac:dyDescent="0.35">
      <c r="A48" t="s">
        <v>73</v>
      </c>
      <c r="B48" t="s">
        <v>9</v>
      </c>
      <c r="C48" t="s">
        <v>13</v>
      </c>
      <c r="D48" t="s">
        <v>75</v>
      </c>
      <c r="E48">
        <v>56321</v>
      </c>
      <c r="F48">
        <v>130000</v>
      </c>
      <c r="G48" t="s">
        <v>15</v>
      </c>
      <c r="H48">
        <v>35</v>
      </c>
    </row>
    <row r="49" spans="1:8" x14ac:dyDescent="0.35">
      <c r="A49" t="s">
        <v>73</v>
      </c>
      <c r="B49" t="s">
        <v>9</v>
      </c>
      <c r="C49" t="s">
        <v>16</v>
      </c>
      <c r="D49" t="s">
        <v>76</v>
      </c>
      <c r="E49">
        <v>24321</v>
      </c>
      <c r="F49">
        <v>130000</v>
      </c>
      <c r="G49" t="s">
        <v>12</v>
      </c>
      <c r="H49">
        <v>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FA1861-1368-4B96-B5D9-1C8F86E945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Party Performance</vt:lpstr>
      <vt:lpstr>Gender analaysis</vt:lpstr>
      <vt:lpstr>Winners</vt:lpstr>
      <vt:lpstr>Party vs Votes</vt:lpstr>
      <vt:lpstr>Pie chart</vt:lpstr>
      <vt:lpstr>Sheet10</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2026-05-05T13:35:38Z</dcterms:created>
  <dcterms:modified xsi:type="dcterms:W3CDTF">2026-05-05T16:52:23Z</dcterms:modified>
</cp:coreProperties>
</file>